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go2\OneDrive\Desktop\"/>
    </mc:Choice>
  </mc:AlternateContent>
  <xr:revisionPtr revIDLastSave="0" documentId="13_ncr:2001_{0765D295-6B8A-440A-98F9-9A99ABB366B7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  <c r="E14" i="3"/>
</calcChain>
</file>

<file path=xl/sharedStrings.xml><?xml version="1.0" encoding="utf-8"?>
<sst xmlns="http://schemas.openxmlformats.org/spreadsheetml/2006/main" count="2037" uniqueCount="336">
  <si>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</si>
  <si>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</si>
  <si>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</si>
  <si>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</si>
  <si>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</si>
  <si>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</si>
  <si>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</si>
  <si>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</si>
  <si>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</si>
  <si>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</si>
  <si>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</si>
  <si>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</si>
  <si>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</si>
  <si>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</si>
  <si>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</si>
  <si>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</si>
  <si>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</si>
  <si>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</si>
  <si>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</si>
  <si>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</si>
  <si>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</si>
  <si>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</si>
  <si>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</si>
  <si>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</si>
  <si>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</si>
  <si>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</si>
  <si>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</si>
  <si>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</si>
  <si>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</si>
  <si>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</si>
  <si>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</si>
  <si>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</si>
  <si>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</si>
  <si>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</si>
  <si>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</si>
  <si>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</si>
  <si>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</si>
  <si>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</si>
  <si>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</si>
  <si>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</si>
  <si>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</si>
  <si>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</si>
  <si>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</si>
  <si>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</si>
  <si>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</si>
  <si>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</si>
  <si>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</si>
  <si>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</si>
  <si>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</si>
  <si>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</si>
  <si>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</si>
  <si>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</si>
  <si>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</si>
  <si>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</si>
  <si>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</si>
  <si>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</si>
  <si>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</si>
  <si>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</si>
  <si>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</si>
  <si>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</si>
  <si>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</si>
  <si>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</si>
  <si>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</si>
  <si>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</si>
  <si>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</si>
  <si>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</si>
  <si>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</si>
  <si>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</si>
  <si>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</si>
  <si>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</si>
  <si>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</si>
  <si>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</si>
  <si>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</si>
  <si>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</si>
  <si>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</si>
  <si>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</si>
  <si>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</si>
  <si>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</si>
  <si>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</si>
  <si>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</si>
  <si>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</si>
  <si>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</si>
  <si>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</si>
  <si>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</si>
  <si>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</si>
  <si>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</si>
  <si>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</si>
  <si>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</si>
  <si>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</si>
  <si>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</si>
  <si>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</si>
  <si>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</si>
  <si>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</si>
  <si>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</si>
  <si>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</si>
  <si>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</si>
  <si>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</si>
  <si>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</si>
  <si>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</si>
  <si>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</si>
  <si>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</si>
  <si>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</si>
  <si>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</si>
  <si>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</si>
  <si>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</si>
  <si>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</si>
  <si>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</si>
  <si>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</si>
  <si>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</si>
  <si>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</si>
  <si>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</si>
  <si>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</si>
  <si>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</si>
  <si>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</si>
  <si>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</si>
  <si>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</si>
  <si>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</si>
  <si>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</si>
  <si>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</si>
  <si>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</si>
  <si>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</si>
  <si>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</si>
  <si>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</si>
  <si>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</si>
  <si>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</si>
  <si>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</si>
  <si>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</si>
  <si>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</si>
  <si>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</si>
  <si>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</si>
  <si>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</si>
  <si>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</si>
  <si>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</si>
  <si>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</si>
  <si>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</si>
  <si>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</si>
  <si>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</si>
  <si>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</si>
  <si>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</si>
  <si>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</si>
  <si>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</si>
  <si>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</si>
  <si>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</si>
  <si>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</si>
  <si>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</si>
  <si>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</si>
  <si>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</si>
  <si>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</si>
  <si>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</si>
  <si>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</si>
  <si>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</si>
  <si>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</si>
  <si>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</si>
  <si>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</si>
  <si>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</si>
  <si>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</si>
  <si>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</si>
  <si>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</si>
  <si>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</si>
  <si>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</si>
  <si>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</si>
  <si>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</si>
  <si>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</si>
  <si>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</si>
  <si>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</si>
  <si>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</si>
  <si>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</si>
  <si>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</si>
  <si>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</si>
  <si>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</si>
  <si>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</si>
  <si>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</si>
  <si>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</si>
  <si>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</si>
  <si>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</si>
  <si>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</si>
  <si>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</si>
  <si>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</si>
  <si>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</si>
  <si>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</si>
  <si>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</si>
  <si>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</si>
  <si>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</si>
  <si>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</si>
  <si>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</si>
  <si>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</si>
  <si>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</si>
  <si>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</si>
  <si>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</si>
  <si>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</si>
  <si>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</si>
  <si>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</si>
  <si>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</si>
  <si>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</si>
  <si>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</si>
  <si>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</si>
  <si>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</si>
  <si>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</si>
  <si>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</si>
  <si>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</si>
  <si>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</si>
  <si>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</si>
  <si>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</si>
  <si>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</si>
  <si>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</si>
  <si>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</si>
  <si>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</si>
  <si>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</si>
  <si>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</si>
  <si>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</si>
  <si>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</si>
  <si>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</si>
  <si>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</si>
  <si>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</si>
  <si>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</si>
  <si>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</si>
  <si>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</si>
  <si>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</si>
  <si>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</si>
  <si>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</si>
  <si>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</si>
  <si>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</si>
  <si>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</si>
  <si>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</si>
  <si>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</si>
  <si>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</si>
  <si>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</si>
  <si>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</si>
  <si>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</si>
  <si>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</si>
  <si>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</si>
  <si>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</si>
  <si>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</si>
  <si>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</si>
  <si>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</si>
  <si>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</si>
  <si>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</si>
  <si>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</si>
  <si>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</si>
  <si>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</si>
  <si>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</si>
  <si>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</si>
  <si>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</si>
  <si>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</si>
  <si>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</si>
  <si>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</si>
  <si>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</si>
  <si>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</si>
  <si>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</si>
  <si>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</si>
  <si>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</si>
  <si>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</si>
  <si>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</si>
  <si>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</si>
  <si>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</si>
  <si>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</si>
  <si>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</si>
  <si>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</si>
  <si>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</si>
  <si>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</si>
  <si>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</si>
  <si>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</si>
  <si>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</si>
  <si>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</si>
  <si>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</si>
  <si>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</si>
  <si>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</si>
  <si>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</si>
  <si>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</si>
  <si>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</si>
  <si>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</si>
  <si>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</si>
  <si>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</si>
  <si>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</si>
  <si>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</si>
  <si>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</si>
  <si>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</si>
  <si>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</si>
  <si>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</si>
  <si>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</si>
  <si>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</si>
  <si>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</si>
  <si>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</si>
  <si>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</si>
  <si>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</si>
  <si>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</si>
  <si>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</si>
  <si>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</si>
  <si>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</si>
  <si>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</si>
  <si>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</si>
  <si>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</si>
  <si>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</si>
  <si>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</si>
  <si>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</si>
  <si>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</si>
  <si>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</si>
  <si>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</si>
  <si>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</si>
  <si>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</si>
  <si>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</si>
  <si>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</si>
  <si>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</si>
  <si>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</si>
  <si>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</si>
  <si>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</si>
  <si>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</si>
  <si>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</si>
  <si>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</si>
  <si>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</si>
  <si>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</si>
  <si>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</si>
  <si>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</si>
  <si>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</si>
  <si>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</si>
  <si>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</si>
  <si>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</si>
  <si>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</si>
  <si>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</si>
  <si>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</si>
  <si>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</si>
  <si>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</si>
  <si>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PAINEL DE VENDAS DOS SERVIÇOS XBOX</t>
  </si>
  <si>
    <t>Bem Vindo, Masterchief!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</si>
  <si>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trimestrais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</si>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</sst>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"/>
      <family val="2"/>
    </font>
    <font>
      <b/>
      <sz val="22"/>
      <color theme="0"/>
      <name val="Segoe UI"/>
      <family val="2"/>
    </font>
    <font>
      <b/>
      <sz val="24"/>
      <color theme="0"/>
      <name val="Segoe UI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6" fillId="3" borderId="0" xfId="0" applyFont="1" applyFill="1" applyAlignment="1">
      <alignment horizontal="left" vertical="center"/>
    </xf>
    <xf numFmtId="0" fontId="5" fillId="7" borderId="0" xfId="0" applyFont="1" applyFill="1"/>
    <xf numFmtId="0" fontId="4" fillId="8" borderId="0" xfId="3" applyAlignment="1">
      <alignment horizontal="center"/>
    </xf>
    <xf numFmtId="0" fontId="0" fillId="0" borderId="0" xfId="0" applyNumberFormat="1"/>
    <xf numFmtId="0" fontId="7" fillId="4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8">
    <dxf>
      <fill>
        <patternFill>
          <bgColor rgb="FF2AE6B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 patternType="solid">
          <bgColor theme="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Estilo de Segmentação de Dados 1" pivot="0" table="0" count="4" xr9:uid="{74611CE0-AA4A-4F3B-85C9-C9F15DF2872F}">
      <tableStyleElement type="wholeTable" dxfId="0"/>
    </tableStyle>
    <tableStyle name="Estilo de Segmentação de Dados 3" pivot="0" table="0" count="1" xr9:uid="{8476E1EF-72A4-4CB0-A0F7-4075E550B91D}"/>
    <tableStyle name="Estilo de Segmentação de Dados 4" pivot="0" table="0" count="3" xr9:uid="{65C875BB-53B7-4CEC-8A5C-AE3182C0EDAA}">
      <tableStyleElement type="wholeTable" dxfId="1"/>
    </tableStyle>
    <tableStyle name="SlicerStyleLight6 2" pivot="0" table="0" count="10" xr9:uid="{7812454B-9EBD-4F72-9068-FA94BE9FF08F}">
      <tableStyleElement type="wholeTable" dxfId="17"/>
      <tableStyleElement type="headerRow" dxfId="16"/>
    </tableStyle>
  </tableStyles>
  <colors>
    <mruColors>
      <color rgb="FF2AE6B1"/>
      <color rgb="FF22C55E"/>
      <color rgb="FFE8E6E9"/>
      <color rgb="FF9BC848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20">
        <dxf>
          <fill>
            <patternFill>
              <bgColor theme="2" tint="-9.9948118533890809E-2"/>
            </patternFill>
          </fill>
        </dxf>
        <dxf>
          <font>
            <b/>
            <i val="0"/>
            <sz val="12"/>
            <color theme="0"/>
          </font>
          <fill>
            <patternFill>
              <bgColor theme="6"/>
            </patternFill>
          </fill>
        </dxf>
        <dxf>
          <font>
            <b/>
            <i val="0"/>
            <sz val="11"/>
          </font>
          <fill>
            <patternFill>
              <bgColor theme="0" tint="-0.34998626667073579"/>
            </patternFill>
          </fill>
        </dxf>
        <dxf>
          <fill>
            <patternFill>
              <bgColor theme="2" tint="-9.9948118533890809E-2"/>
            </patternFill>
          </fill>
        </dxf>
        <dxf>
          <font>
            <b/>
            <i val="0"/>
            <sz val="12"/>
            <color theme="0"/>
          </font>
          <fill>
            <patternFill>
              <bgColor theme="6"/>
            </patternFill>
          </fill>
        </dxf>
        <dxf>
          <font>
            <b/>
            <i val="0"/>
            <sz val="11"/>
          </font>
          <fill>
            <patternFill>
              <bgColor theme="0" tint="-0.34998626667073579"/>
            </patternFill>
          </fill>
        </dxf>
        <dxf>
          <fill>
            <patternFill>
              <bgColor theme="2" tint="-9.9948118533890809E-2"/>
            </patternFill>
          </fill>
        </dxf>
        <dxf>
          <font>
            <b/>
            <i val="0"/>
            <sz val="12"/>
            <color theme="0"/>
          </font>
          <fill>
            <patternFill>
              <bgColor theme="6"/>
            </patternFill>
          </fill>
        </dxf>
        <dxf>
          <font>
            <b/>
            <i val="0"/>
            <sz val="11"/>
          </font>
          <fill>
            <patternFill>
              <bgColor theme="0" tint="-0.34998626667073579"/>
            </patternFill>
          </fill>
        </dxf>
        <dxf>
          <fill>
            <patternFill>
              <bgColor theme="6" tint="0.39994506668294322"/>
            </patternFill>
          </fill>
        </dxf>
        <dxf>
          <fill>
            <patternFill>
              <bgColor theme="6"/>
            </patternFill>
          </fill>
        </dxf>
        <dxf>
          <fill>
            <patternFill>
              <bgColor theme="6" tint="0.39994506668294322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3">
          <x14:slicerStyleElements>
            <x14:slicerStyleElement type="hoveredSelectedItemWithNoData" dxfId="11"/>
          </x14:slicerStyleElements>
        </x14:slicerStyle>
        <x14:slicerStyle name="Estilo de Segmentação de Dados 4">
          <x14:slicerStyleElements>
            <x14:slicerStyleElement type="selectedItemWithData" dxfId="10"/>
            <x14:slicerStyleElement type="selectedItemWithNoData" dxfId="9"/>
          </x14:slicerStyleElements>
        </x14:slicerStyle>
        <x14:slicerStyle name="SlicerStyleLight6 2">
          <x14:slicerStyleElements>
            <x14:slicerStyleElement type="unselectedItemWithData" dxfId="19"/>
            <x14:slicerStyleElement type="unselectedItemWithNoData" dxfId="18"/>
            <x14:slicerStyleElement type="selectedItemWithData" dxfId="17"/>
            <x14:slicerStyleElement type="selectedItemWithNoData" dxfId="16"/>
            <x14:slicerStyleElement type="hoveredUnselectedItemWithData" dxfId="15"/>
            <x14:slicerStyleElement type="hoveredSelectedItemWithData" dxfId="14"/>
            <x14:slicerStyleElement type="hoveredUnselectedItemWithNoData" dxfId="13"/>
            <x14:slicerStyleElement type="hoveredSelectedItemWithNoData" dxfId="12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de Vendas Xbox.xlsx]C̳álculos!Tabela dinâmica1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9BC84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9BC84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95250" cap="rnd">
            <a:solidFill>
              <a:srgbClr val="22C55E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66675">
              <a:solidFill>
                <a:srgbClr val="9BC848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>
            <a:ln w="95250" cap="rnd">
              <a:solidFill>
                <a:srgbClr val="22C55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6675">
                <a:solidFill>
                  <a:srgbClr val="9BC84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C̳álculos!$B$44:$B$55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C̳álculos!$C$44:$C$55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67-4709-96FF-58D5E6254B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95457248"/>
        <c:axId val="295459168"/>
      </c:lineChart>
      <c:catAx>
        <c:axId val="2954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5459168"/>
        <c:crosses val="autoZero"/>
        <c:auto val="1"/>
        <c:lblAlgn val="ctr"/>
        <c:lblOffset val="100"/>
        <c:noMultiLvlLbl val="0"/>
      </c:catAx>
      <c:valAx>
        <c:axId val="29545916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9545724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6E9"/>
    </a:solidFill>
    <a:ln w="53975" cap="flat" cmpd="sng" algn="ctr">
      <a:solidFill>
        <a:schemeClr val="tx1">
          <a:lumMod val="95000"/>
          <a:lumOff val="5000"/>
        </a:schemeClr>
      </a:solidFill>
      <a:round/>
    </a:ln>
    <a:effectLst>
      <a:softEdge rad="0"/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de Vendas Xbox.xlsx]C̳álculos!tbl_annual_total</c:name>
    <c:fmtId val="2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ED-46A9-B39D-0EF193E8431E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ED-46A9-B39D-0EF193E843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ED-46A9-B39D-0EF193E843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2.png"/><Relationship Id="rId7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11.png"/><Relationship Id="rId6" Type="http://schemas.openxmlformats.org/officeDocument/2006/relationships/image" Target="../media/image1.png"/><Relationship Id="rId5" Type="http://schemas.openxmlformats.org/officeDocument/2006/relationships/image" Target="../media/image14.png"/><Relationship Id="rId10" Type="http://schemas.openxmlformats.org/officeDocument/2006/relationships/chart" Target="../charts/chart2.xml"/><Relationship Id="rId4" Type="http://schemas.openxmlformats.org/officeDocument/2006/relationships/image" Target="../media/image13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13</xdr:row>
      <xdr:rowOff>19050</xdr:rowOff>
    </xdr:from>
    <xdr:to>
      <xdr:col>13</xdr:col>
      <xdr:colOff>476250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97165" y="2564130"/>
          <a:ext cx="23812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11</xdr:col>
      <xdr:colOff>350521</xdr:colOff>
      <xdr:row>12</xdr:row>
      <xdr:rowOff>144781</xdr:rowOff>
    </xdr:from>
    <xdr:to>
      <xdr:col>13</xdr:col>
      <xdr:colOff>129540</xdr:colOff>
      <xdr:row>16</xdr:row>
      <xdr:rowOff>69911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312ECEF2-7E73-3C6B-C138-B81D754C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90361" y="2499361"/>
          <a:ext cx="998219" cy="66427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27</xdr:row>
      <xdr:rowOff>30480</xdr:rowOff>
    </xdr:from>
    <xdr:to>
      <xdr:col>4</xdr:col>
      <xdr:colOff>548640</xdr:colOff>
      <xdr:row>31</xdr:row>
      <xdr:rowOff>146350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653CF03F-609F-BA78-4628-9445EEA96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5135880"/>
          <a:ext cx="2354580" cy="847390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</xdr:colOff>
      <xdr:row>16</xdr:row>
      <xdr:rowOff>152400</xdr:rowOff>
    </xdr:from>
    <xdr:to>
      <xdr:col>10</xdr:col>
      <xdr:colOff>426720</xdr:colOff>
      <xdr:row>21</xdr:row>
      <xdr:rowOff>95339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1CA325E7-5661-44F6-B3B5-20F414DBA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7280" y="3246120"/>
          <a:ext cx="1249680" cy="857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48184</xdr:colOff>
      <xdr:row>0</xdr:row>
      <xdr:rowOff>136071</xdr:rowOff>
    </xdr:from>
    <xdr:to>
      <xdr:col>2</xdr:col>
      <xdr:colOff>485213</xdr:colOff>
      <xdr:row>0</xdr:row>
      <xdr:rowOff>912289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44127" y="136071"/>
          <a:ext cx="676515" cy="776218"/>
        </a:xfrm>
        <a:prstGeom prst="rect">
          <a:avLst/>
        </a:prstGeom>
      </xdr:spPr>
    </xdr:pic>
    <xdr:clientData/>
  </xdr:twoCellAnchor>
  <xdr:twoCellAnchor editAs="absolute">
    <xdr:from>
      <xdr:col>0</xdr:col>
      <xdr:colOff>121035</xdr:colOff>
      <xdr:row>2</xdr:row>
      <xdr:rowOff>669</xdr:rowOff>
    </xdr:from>
    <xdr:to>
      <xdr:col>9</xdr:col>
      <xdr:colOff>15460</xdr:colOff>
      <xdr:row>2</xdr:row>
      <xdr:rowOff>211885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121035" y="1649360"/>
          <a:ext cx="4604970" cy="2112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 period: 01/01/2024 - 31/12/2024 | Update date: 25/12/2024 09:00:00</a:t>
          </a:r>
        </a:p>
      </xdr:txBody>
    </xdr:sp>
    <xdr:clientData/>
  </xdr:twoCellAnchor>
  <xdr:twoCellAnchor editAs="oneCell">
    <xdr:from>
      <xdr:col>2</xdr:col>
      <xdr:colOff>348343</xdr:colOff>
      <xdr:row>1</xdr:row>
      <xdr:rowOff>10886</xdr:rowOff>
    </xdr:from>
    <xdr:to>
      <xdr:col>3</xdr:col>
      <xdr:colOff>587828</xdr:colOff>
      <xdr:row>1</xdr:row>
      <xdr:rowOff>575914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5CF3C42-83C8-4AE6-BC2F-DF89636E9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772" y="1077686"/>
          <a:ext cx="849085" cy="565028"/>
        </a:xfrm>
        <a:prstGeom prst="rect">
          <a:avLst/>
        </a:prstGeom>
      </xdr:spPr>
    </xdr:pic>
    <xdr:clientData/>
  </xdr:twoCellAnchor>
  <xdr:twoCellAnchor editAs="oneCell">
    <xdr:from>
      <xdr:col>2</xdr:col>
      <xdr:colOff>87085</xdr:colOff>
      <xdr:row>1</xdr:row>
      <xdr:rowOff>97973</xdr:rowOff>
    </xdr:from>
    <xdr:to>
      <xdr:col>2</xdr:col>
      <xdr:colOff>478970</xdr:colOff>
      <xdr:row>1</xdr:row>
      <xdr:rowOff>489858</xdr:rowOff>
    </xdr:to>
    <xdr:pic>
      <xdr:nvPicPr>
        <xdr:cNvPr id="11" name="Gráfico 10" descr="Seta: curva ligeira estrutura de tópicos">
          <a:extLst>
            <a:ext uri="{FF2B5EF4-FFF2-40B4-BE49-F238E27FC236}">
              <a16:creationId xmlns:a16="http://schemas.microsoft.com/office/drawing/2014/main" id="{ACCEF975-CDFA-9AD9-A452-D622B2AF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2514" y="1164773"/>
          <a:ext cx="391885" cy="391885"/>
        </a:xfrm>
        <a:prstGeom prst="rect">
          <a:avLst/>
        </a:prstGeom>
      </xdr:spPr>
    </xdr:pic>
    <xdr:clientData/>
  </xdr:twoCellAnchor>
  <xdr:twoCellAnchor>
    <xdr:from>
      <xdr:col>2</xdr:col>
      <xdr:colOff>402770</xdr:colOff>
      <xdr:row>7</xdr:row>
      <xdr:rowOff>97970</xdr:rowOff>
    </xdr:from>
    <xdr:to>
      <xdr:col>11</xdr:col>
      <xdr:colOff>374073</xdr:colOff>
      <xdr:row>30</xdr:row>
      <xdr:rowOff>41563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48118FA7-D3D9-8676-E2A3-CFDCB647C7E2}"/>
            </a:ext>
          </a:extLst>
        </xdr:cNvPr>
        <xdr:cNvGrpSpPr/>
      </xdr:nvGrpSpPr>
      <xdr:grpSpPr>
        <a:xfrm>
          <a:off x="844730" y="2444930"/>
          <a:ext cx="5457703" cy="4134593"/>
          <a:chOff x="1676399" y="2623456"/>
          <a:chExt cx="4800601" cy="3722915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9B70EC56-24A1-6098-757B-960ED968E2C3}"/>
              </a:ext>
            </a:extLst>
          </xdr:cNvPr>
          <xdr:cNvGrpSpPr/>
        </xdr:nvGrpSpPr>
        <xdr:grpSpPr>
          <a:xfrm>
            <a:off x="1676399" y="2623456"/>
            <a:ext cx="4800601" cy="3722915"/>
            <a:chOff x="1621970" y="2688771"/>
            <a:chExt cx="4800601" cy="3722915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71330B40-FFEC-6D31-5ACD-EADD667165F9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694" t="14404" r="5306" b="15226"/>
            <a:stretch>
              <a:fillRect/>
            </a:stretch>
          </xdr:blipFill>
          <xdr:spPr>
            <a:xfrm>
              <a:off x="1621970" y="2688771"/>
              <a:ext cx="4800601" cy="3722915"/>
            </a:xfrm>
            <a:prstGeom prst="rect">
              <a:avLst/>
            </a:prstGeom>
          </xdr:spPr>
        </xdr:pic>
        <xdr:sp macro="" textlink="C̳álculos!E14">
          <xdr:nvSpPr>
            <xdr:cNvPr id="23" name="Retângulo 22">
              <a:extLst>
                <a:ext uri="{FF2B5EF4-FFF2-40B4-BE49-F238E27FC236}">
                  <a16:creationId xmlns:a16="http://schemas.microsoft.com/office/drawing/2014/main" id="{B84ED12A-9700-95D8-7401-DC21AC94384C}"/>
                </a:ext>
              </a:extLst>
            </xdr:cNvPr>
            <xdr:cNvSpPr/>
          </xdr:nvSpPr>
          <xdr:spPr>
            <a:xfrm>
              <a:off x="3559630" y="3973284"/>
              <a:ext cx="2405740" cy="1208318"/>
            </a:xfrm>
            <a:prstGeom prst="rect">
              <a:avLst/>
            </a:prstGeom>
            <a:solidFill>
              <a:srgbClr val="E8E6E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l"/>
              <a:fld id="{F4139B07-9AB2-4F1B-B0B5-C876C70375F7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lvl="0" algn="l"/>
                <a:t> R$ 1.754,00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34" name="Elipse 33">
              <a:extLst>
                <a:ext uri="{FF2B5EF4-FFF2-40B4-BE49-F238E27FC236}">
                  <a16:creationId xmlns:a16="http://schemas.microsoft.com/office/drawing/2014/main" id="{73DCF022-CECC-4D99-363C-5D0604742BB8}"/>
                </a:ext>
              </a:extLst>
            </xdr:cNvPr>
            <xdr:cNvSpPr/>
          </xdr:nvSpPr>
          <xdr:spPr>
            <a:xfrm>
              <a:off x="2188029" y="3026230"/>
              <a:ext cx="3657600" cy="1121228"/>
            </a:xfrm>
            <a:prstGeom prst="ellipse">
              <a:avLst/>
            </a:prstGeom>
            <a:solidFill>
              <a:srgbClr val="22C55E"/>
            </a:solidFill>
            <a:ln w="76200">
              <a:solidFill>
                <a:schemeClr val="bg2">
                  <a:lumMod val="1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Assinaturas XBOX</a:t>
              </a:r>
              <a:endPara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35" name="Imagem 34">
            <a:extLst>
              <a:ext uri="{FF2B5EF4-FFF2-40B4-BE49-F238E27FC236}">
                <a16:creationId xmlns:a16="http://schemas.microsoft.com/office/drawing/2014/main" id="{57DF5B6D-E9EB-4208-A80C-60AA2A8D9BC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/>
          <a:srcRect r="65905" b="-14584"/>
          <a:stretch>
            <a:fillRect/>
          </a:stretch>
        </xdr:blipFill>
        <xdr:spPr>
          <a:xfrm>
            <a:off x="2747582" y="4136773"/>
            <a:ext cx="859969" cy="84167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413656</xdr:colOff>
      <xdr:row>7</xdr:row>
      <xdr:rowOff>130629</xdr:rowOff>
    </xdr:from>
    <xdr:to>
      <xdr:col>21</xdr:col>
      <xdr:colOff>384856</xdr:colOff>
      <xdr:row>30</xdr:row>
      <xdr:rowOff>73574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B2E302CC-E785-0784-6013-EECC7A91F16A}"/>
            </a:ext>
          </a:extLst>
        </xdr:cNvPr>
        <xdr:cNvGrpSpPr/>
      </xdr:nvGrpSpPr>
      <xdr:grpSpPr>
        <a:xfrm>
          <a:off x="6799216" y="2477589"/>
          <a:ext cx="5457600" cy="4133945"/>
          <a:chOff x="6781800" y="2449286"/>
          <a:chExt cx="4800601" cy="3722915"/>
        </a:xfrm>
      </xdr:grpSpPr>
      <xdr:grpSp>
        <xdr:nvGrpSpPr>
          <xdr:cNvPr id="39" name="Agrupar 38">
            <a:extLst>
              <a:ext uri="{FF2B5EF4-FFF2-40B4-BE49-F238E27FC236}">
                <a16:creationId xmlns:a16="http://schemas.microsoft.com/office/drawing/2014/main" id="{BA71F518-7D32-C039-AD0F-82C928A30373}"/>
              </a:ext>
            </a:extLst>
          </xdr:cNvPr>
          <xdr:cNvGrpSpPr/>
        </xdr:nvGrpSpPr>
        <xdr:grpSpPr>
          <a:xfrm>
            <a:off x="6781800" y="2449286"/>
            <a:ext cx="4800601" cy="3722915"/>
            <a:chOff x="1621970" y="2688771"/>
            <a:chExt cx="4800601" cy="3722915"/>
          </a:xfrm>
        </xdr:grpSpPr>
        <xdr:pic>
          <xdr:nvPicPr>
            <xdr:cNvPr id="41" name="Imagem 40">
              <a:extLst>
                <a:ext uri="{FF2B5EF4-FFF2-40B4-BE49-F238E27FC236}">
                  <a16:creationId xmlns:a16="http://schemas.microsoft.com/office/drawing/2014/main" id="{7F567763-188A-B6D2-FFCB-C38AA532C43D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694" t="14404" r="5306" b="15226"/>
            <a:stretch>
              <a:fillRect/>
            </a:stretch>
          </xdr:blipFill>
          <xdr:spPr>
            <a:xfrm>
              <a:off x="1621970" y="2688771"/>
              <a:ext cx="4800601" cy="3722915"/>
            </a:xfrm>
            <a:prstGeom prst="rect">
              <a:avLst/>
            </a:prstGeom>
          </xdr:spPr>
        </xdr:pic>
        <xdr:sp macro="" textlink="C̳álculos!E25">
          <xdr:nvSpPr>
            <xdr:cNvPr id="42" name="Retângulo 41">
              <a:extLst>
                <a:ext uri="{FF2B5EF4-FFF2-40B4-BE49-F238E27FC236}">
                  <a16:creationId xmlns:a16="http://schemas.microsoft.com/office/drawing/2014/main" id="{053028BD-F19D-0E0C-1485-6311FECC1041}"/>
                </a:ext>
              </a:extLst>
            </xdr:cNvPr>
            <xdr:cNvSpPr/>
          </xdr:nvSpPr>
          <xdr:spPr>
            <a:xfrm>
              <a:off x="3690255" y="4114800"/>
              <a:ext cx="2318657" cy="979714"/>
            </a:xfrm>
            <a:prstGeom prst="rect">
              <a:avLst/>
            </a:prstGeom>
            <a:solidFill>
              <a:srgbClr val="E8E6E9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l"/>
              <a:fld id="{92B3A29B-0920-49F2-A019-DA2BE02B5DB1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lvl="0" algn="l"/>
                <a:t> R$ 600,00 </a:t>
              </a:fld>
              <a:endParaRPr lang="pt-BR" sz="3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43" name="Elipse 42">
              <a:extLst>
                <a:ext uri="{FF2B5EF4-FFF2-40B4-BE49-F238E27FC236}">
                  <a16:creationId xmlns:a16="http://schemas.microsoft.com/office/drawing/2014/main" id="{DAB71A23-E76B-53EE-FEBD-01C4B132C055}"/>
                </a:ext>
              </a:extLst>
            </xdr:cNvPr>
            <xdr:cNvSpPr/>
          </xdr:nvSpPr>
          <xdr:spPr>
            <a:xfrm>
              <a:off x="2188029" y="3026230"/>
              <a:ext cx="3657600" cy="1121228"/>
            </a:xfrm>
            <a:prstGeom prst="ellipse">
              <a:avLst/>
            </a:prstGeom>
            <a:solidFill>
              <a:srgbClr val="22C55E"/>
            </a:solidFill>
            <a:ln w="76200">
              <a:solidFill>
                <a:schemeClr val="bg2">
                  <a:lumMod val="10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20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Assinaturas EA PLAY</a:t>
              </a:r>
              <a:endPara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44" name="Imagem 43">
            <a:extLst>
              <a:ext uri="{FF2B5EF4-FFF2-40B4-BE49-F238E27FC236}">
                <a16:creationId xmlns:a16="http://schemas.microsoft.com/office/drawing/2014/main" id="{482F5854-D0A2-4BB6-8F56-C827B80D20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350936" y="3601388"/>
            <a:ext cx="1559575" cy="149134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353292</xdr:colOff>
      <xdr:row>29</xdr:row>
      <xdr:rowOff>152392</xdr:rowOff>
    </xdr:from>
    <xdr:to>
      <xdr:col>11</xdr:col>
      <xdr:colOff>324492</xdr:colOff>
      <xdr:row>52</xdr:row>
      <xdr:rowOff>81483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B3D4BFE1-23EE-EA27-17B4-56B431E68A6F}"/>
            </a:ext>
          </a:extLst>
        </xdr:cNvPr>
        <xdr:cNvGrpSpPr/>
      </xdr:nvGrpSpPr>
      <xdr:grpSpPr>
        <a:xfrm>
          <a:off x="795252" y="6507472"/>
          <a:ext cx="5457600" cy="4135331"/>
          <a:chOff x="1621970" y="2688771"/>
          <a:chExt cx="4800601" cy="3722915"/>
        </a:xfrm>
      </xdr:grpSpPr>
      <xdr:pic>
        <xdr:nvPicPr>
          <xdr:cNvPr id="50" name="Imagem 49">
            <a:extLst>
              <a:ext uri="{FF2B5EF4-FFF2-40B4-BE49-F238E27FC236}">
                <a16:creationId xmlns:a16="http://schemas.microsoft.com/office/drawing/2014/main" id="{09A2A686-A83C-DBC4-4712-6228AFD80F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694" t="14404" r="5306" b="15226"/>
          <a:stretch>
            <a:fillRect/>
          </a:stretch>
        </xdr:blipFill>
        <xdr:spPr>
          <a:xfrm>
            <a:off x="1621970" y="2688771"/>
            <a:ext cx="4800601" cy="3722915"/>
          </a:xfrm>
          <a:prstGeom prst="rect">
            <a:avLst/>
          </a:prstGeom>
        </xdr:spPr>
      </xdr:pic>
      <xdr:sp macro="" textlink="C̳álculos!E36">
        <xdr:nvSpPr>
          <xdr:cNvPr id="51" name="Retângulo 50">
            <a:extLst>
              <a:ext uri="{FF2B5EF4-FFF2-40B4-BE49-F238E27FC236}">
                <a16:creationId xmlns:a16="http://schemas.microsoft.com/office/drawing/2014/main" id="{92F94600-E0C0-68C0-6F2D-538676286550}"/>
              </a:ext>
            </a:extLst>
          </xdr:cNvPr>
          <xdr:cNvSpPr/>
        </xdr:nvSpPr>
        <xdr:spPr>
          <a:xfrm>
            <a:off x="3690255" y="4114800"/>
            <a:ext cx="2318657" cy="979714"/>
          </a:xfrm>
          <a:prstGeom prst="rect">
            <a:avLst/>
          </a:prstGeom>
          <a:solidFill>
            <a:srgbClr val="E8E6E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fld id="{3684FFDC-F81E-4CAA-9F68-2E7E57D4927D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lvl="0" algn="l"/>
              <a:t> R$ 940,00 </a:t>
            </a:fld>
            <a:endParaRPr lang="pt-BR" sz="7200">
              <a:solidFill>
                <a:srgbClr val="22C55E"/>
              </a:solidFill>
            </a:endParaRPr>
          </a:p>
        </xdr:txBody>
      </xdr:sp>
      <xdr:sp macro="" textlink="">
        <xdr:nvSpPr>
          <xdr:cNvPr id="52" name="Elipse 51">
            <a:extLst>
              <a:ext uri="{FF2B5EF4-FFF2-40B4-BE49-F238E27FC236}">
                <a16:creationId xmlns:a16="http://schemas.microsoft.com/office/drawing/2014/main" id="{0B9D83DE-9D87-FC2F-94B0-A79D70F097F3}"/>
              </a:ext>
            </a:extLst>
          </xdr:cNvPr>
          <xdr:cNvSpPr/>
        </xdr:nvSpPr>
        <xdr:spPr>
          <a:xfrm>
            <a:off x="2188029" y="3026230"/>
            <a:ext cx="3657600" cy="1121228"/>
          </a:xfrm>
          <a:prstGeom prst="ellipse">
            <a:avLst/>
          </a:prstGeom>
          <a:solidFill>
            <a:srgbClr val="22C55E"/>
          </a:solidFill>
          <a:ln w="76200">
            <a:solidFill>
              <a:schemeClr val="bg2">
                <a:lumMod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Assinaturas Minecraft S Pass</a:t>
            </a:r>
            <a:endParaRPr lang="pt-BR" sz="20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3</xdr:col>
      <xdr:colOff>221673</xdr:colOff>
      <xdr:row>39</xdr:row>
      <xdr:rowOff>55417</xdr:rowOff>
    </xdr:from>
    <xdr:to>
      <xdr:col>6</xdr:col>
      <xdr:colOff>271509</xdr:colOff>
      <xdr:row>44</xdr:row>
      <xdr:rowOff>0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963B2960-170D-4FEE-9127-BA175B68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4618" y="8146472"/>
          <a:ext cx="1878636" cy="845128"/>
        </a:xfrm>
        <a:prstGeom prst="rect">
          <a:avLst/>
        </a:prstGeom>
      </xdr:spPr>
    </xdr:pic>
    <xdr:clientData/>
  </xdr:twoCellAnchor>
  <xdr:twoCellAnchor>
    <xdr:from>
      <xdr:col>2</xdr:col>
      <xdr:colOff>540822</xdr:colOff>
      <xdr:row>53</xdr:row>
      <xdr:rowOff>168482</xdr:rowOff>
    </xdr:from>
    <xdr:to>
      <xdr:col>21</xdr:col>
      <xdr:colOff>27709</xdr:colOff>
      <xdr:row>73</xdr:row>
      <xdr:rowOff>27709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C93CB131-216D-4CBF-A79C-797EE63A2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366157</xdr:colOff>
      <xdr:row>29</xdr:row>
      <xdr:rowOff>150423</xdr:rowOff>
    </xdr:from>
    <xdr:to>
      <xdr:col>21</xdr:col>
      <xdr:colOff>337357</xdr:colOff>
      <xdr:row>52</xdr:row>
      <xdr:rowOff>79514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C00B5C9-1B5D-44C7-57F1-82DFB09F7AEC}"/>
            </a:ext>
          </a:extLst>
        </xdr:cNvPr>
        <xdr:cNvGrpSpPr/>
      </xdr:nvGrpSpPr>
      <xdr:grpSpPr>
        <a:xfrm>
          <a:off x="6751717" y="6505503"/>
          <a:ext cx="5457600" cy="4135331"/>
          <a:chOff x="6656119" y="6218711"/>
          <a:chExt cx="4800601" cy="3619005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8839CA70-D5DB-5EBB-EFAA-1AF8CC76216A}"/>
              </a:ext>
            </a:extLst>
          </xdr:cNvPr>
          <xdr:cNvGrpSpPr/>
        </xdr:nvGrpSpPr>
        <xdr:grpSpPr>
          <a:xfrm>
            <a:off x="6656119" y="6218711"/>
            <a:ext cx="4800601" cy="3619005"/>
            <a:chOff x="6656119" y="6218711"/>
            <a:chExt cx="4800601" cy="3619005"/>
          </a:xfrm>
        </xdr:grpSpPr>
        <xdr:pic>
          <xdr:nvPicPr>
            <xdr:cNvPr id="57" name="Imagem 56">
              <a:extLst>
                <a:ext uri="{FF2B5EF4-FFF2-40B4-BE49-F238E27FC236}">
                  <a16:creationId xmlns:a16="http://schemas.microsoft.com/office/drawing/2014/main" id="{DBCC6C23-9EAF-C4FD-6BC6-CDBD0312D477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4694" t="14404" r="5306" b="15226"/>
            <a:stretch>
              <a:fillRect/>
            </a:stretch>
          </xdr:blipFill>
          <xdr:spPr>
            <a:xfrm>
              <a:off x="6656119" y="6218711"/>
              <a:ext cx="4800601" cy="3619005"/>
            </a:xfrm>
            <a:prstGeom prst="rect">
              <a:avLst/>
            </a:prstGeom>
          </xdr:spPr>
        </xdr:pic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38D3AD9-991D-4B49-BBE2-9EF72CECFD8C}"/>
                </a:ext>
              </a:extLst>
            </xdr:cNvPr>
            <xdr:cNvGraphicFramePr>
              <a:graphicFrameLocks/>
            </xdr:cNvGraphicFramePr>
          </xdr:nvGraphicFramePr>
          <xdr:xfrm>
            <a:off x="8091050" y="7038109"/>
            <a:ext cx="2581457" cy="181766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95B85CF7-9D3C-4C36-A6E7-703565F4DF72}"/>
              </a:ext>
            </a:extLst>
          </xdr:cNvPr>
          <xdr:cNvSpPr/>
        </xdr:nvSpPr>
        <xdr:spPr>
          <a:xfrm>
            <a:off x="7405254" y="6580908"/>
            <a:ext cx="3318164" cy="581892"/>
          </a:xfrm>
          <a:prstGeom prst="ellipse">
            <a:avLst/>
          </a:prstGeom>
          <a:solidFill>
            <a:srgbClr val="22C55E"/>
          </a:solidFill>
          <a:ln w="76200">
            <a:solidFill>
              <a:schemeClr val="bg2">
                <a:lumMod val="1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Auto Renewal</a:t>
            </a:r>
          </a:p>
        </xdr:txBody>
      </xdr:sp>
    </xdr:grpSp>
    <xdr:clientData/>
  </xdr:twoCellAnchor>
  <xdr:twoCellAnchor editAs="oneCell">
    <xdr:from>
      <xdr:col>13</xdr:col>
      <xdr:colOff>595743</xdr:colOff>
      <xdr:row>0</xdr:row>
      <xdr:rowOff>263235</xdr:rowOff>
    </xdr:from>
    <xdr:to>
      <xdr:col>20</xdr:col>
      <xdr:colOff>445143</xdr:colOff>
      <xdr:row>0</xdr:row>
      <xdr:rowOff>789708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EC7F5287-7710-439F-9A8E-AA4C9786B1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0903" y="263235"/>
              <a:ext cx="4116600" cy="526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0.00461</cdr:x>
      <cdr:y>0</cdr:y>
    </cdr:from>
    <cdr:to>
      <cdr:x>1</cdr:x>
      <cdr:y>0.1211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D38961C2-63F8-2152-84C0-F7962A084E54}"/>
            </a:ext>
          </a:extLst>
        </cdr:cNvPr>
        <cdr:cNvSpPr/>
      </cdr:nvSpPr>
      <cdr:spPr>
        <a:xfrm xmlns:a="http://schemas.openxmlformats.org/drawingml/2006/main">
          <a:off x="50327" y="0"/>
          <a:ext cx="10866560" cy="425878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pt-BR" sz="2000" b="1" kern="1200"/>
            <a:t>Faturamento</a:t>
          </a:r>
          <a:r>
            <a:rPr lang="pt-BR" sz="2000" b="1" kern="1200" baseline="0"/>
            <a:t> por Mês</a:t>
          </a:r>
          <a:endParaRPr lang="pt-BR" sz="20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n v="5"/>
    <n v="60"/>
  </r>
  <r>
    <n v="3232"/>
    <x v="1"/>
    <x v="1"/>
    <x v="1"/>
    <x v="1"/>
    <n v="5"/>
    <x v="1"/>
    <s v="No"/>
    <x v="1"/>
    <s v="No"/>
    <n v="0"/>
    <n v="0"/>
    <n v="5"/>
  </r>
  <r>
    <n v="3233"/>
    <x v="2"/>
    <x v="2"/>
    <x v="2"/>
    <x v="0"/>
    <n v="10"/>
    <x v="2"/>
    <s v="No"/>
    <x v="1"/>
    <s v="Yes"/>
    <n v="20"/>
    <n v="10"/>
    <n v="20"/>
  </r>
  <r>
    <n v="3234"/>
    <x v="3"/>
    <x v="0"/>
    <x v="3"/>
    <x v="1"/>
    <n v="15"/>
    <x v="0"/>
    <s v="Yes"/>
    <x v="0"/>
    <s v="Yes"/>
    <n v="20"/>
    <n v="3"/>
    <n v="62"/>
  </r>
  <r>
    <n v="3235"/>
    <x v="4"/>
    <x v="1"/>
    <x v="4"/>
    <x v="0"/>
    <n v="5"/>
    <x v="0"/>
    <s v="No"/>
    <x v="1"/>
    <s v="No"/>
    <n v="0"/>
    <n v="1"/>
    <n v="4"/>
  </r>
  <r>
    <n v="3236"/>
    <x v="5"/>
    <x v="2"/>
    <x v="5"/>
    <x v="1"/>
    <n v="10"/>
    <x v="0"/>
    <s v="No"/>
    <x v="1"/>
    <s v="Yes"/>
    <n v="20"/>
    <n v="2"/>
    <n v="28"/>
  </r>
  <r>
    <n v="3237"/>
    <x v="6"/>
    <x v="0"/>
    <x v="6"/>
    <x v="0"/>
    <n v="15"/>
    <x v="2"/>
    <s v="Yes"/>
    <x v="0"/>
    <s v="Yes"/>
    <n v="20"/>
    <n v="10"/>
    <n v="55"/>
  </r>
  <r>
    <n v="3238"/>
    <x v="7"/>
    <x v="1"/>
    <x v="7"/>
    <x v="0"/>
    <n v="5"/>
    <x v="1"/>
    <s v="No"/>
    <x v="1"/>
    <s v="No"/>
    <n v="0"/>
    <n v="0"/>
    <n v="5"/>
  </r>
  <r>
    <n v="3239"/>
    <x v="8"/>
    <x v="0"/>
    <x v="4"/>
    <x v="1"/>
    <n v="15"/>
    <x v="0"/>
    <s v="Yes"/>
    <x v="0"/>
    <s v="Yes"/>
    <n v="20"/>
    <n v="5"/>
    <n v="60"/>
  </r>
  <r>
    <n v="3240"/>
    <x v="9"/>
    <x v="2"/>
    <x v="8"/>
    <x v="0"/>
    <n v="10"/>
    <x v="2"/>
    <s v="No"/>
    <x v="1"/>
    <s v="Yes"/>
    <n v="20"/>
    <n v="15"/>
    <n v="15"/>
  </r>
  <r>
    <n v="3241"/>
    <x v="10"/>
    <x v="1"/>
    <x v="9"/>
    <x v="1"/>
    <n v="5"/>
    <x v="0"/>
    <s v="No"/>
    <x v="1"/>
    <s v="No"/>
    <n v="0"/>
    <n v="1"/>
    <n v="4"/>
  </r>
  <r>
    <n v="3242"/>
    <x v="11"/>
    <x v="0"/>
    <x v="10"/>
    <x v="0"/>
    <n v="15"/>
    <x v="1"/>
    <s v="Yes"/>
    <x v="0"/>
    <s v="Yes"/>
    <n v="20"/>
    <n v="20"/>
    <n v="45"/>
  </r>
  <r>
    <n v="3243"/>
    <x v="12"/>
    <x v="2"/>
    <x v="11"/>
    <x v="1"/>
    <n v="10"/>
    <x v="0"/>
    <s v="No"/>
    <x v="1"/>
    <s v="Yes"/>
    <n v="20"/>
    <n v="10"/>
    <n v="20"/>
  </r>
  <r>
    <n v="3244"/>
    <x v="13"/>
    <x v="1"/>
    <x v="12"/>
    <x v="0"/>
    <n v="5"/>
    <x v="2"/>
    <s v="No"/>
    <x v="1"/>
    <s v="No"/>
    <n v="0"/>
    <n v="0"/>
    <n v="5"/>
  </r>
  <r>
    <n v="3245"/>
    <x v="14"/>
    <x v="0"/>
    <x v="13"/>
    <x v="1"/>
    <n v="15"/>
    <x v="0"/>
    <s v="Yes"/>
    <x v="0"/>
    <s v="Yes"/>
    <n v="20"/>
    <n v="8"/>
    <n v="57"/>
  </r>
  <r>
    <n v="3246"/>
    <x v="15"/>
    <x v="2"/>
    <x v="14"/>
    <x v="0"/>
    <n v="10"/>
    <x v="1"/>
    <s v="No"/>
    <x v="1"/>
    <s v="Yes"/>
    <n v="20"/>
    <n v="12"/>
    <n v="18"/>
  </r>
  <r>
    <n v="3247"/>
    <x v="16"/>
    <x v="1"/>
    <x v="15"/>
    <x v="1"/>
    <n v="5"/>
    <x v="0"/>
    <s v="No"/>
    <x v="1"/>
    <s v="No"/>
    <n v="0"/>
    <n v="2"/>
    <n v="3"/>
  </r>
  <r>
    <n v="3248"/>
    <x v="17"/>
    <x v="0"/>
    <x v="16"/>
    <x v="0"/>
    <n v="15"/>
    <x v="2"/>
    <s v="Yes"/>
    <x v="0"/>
    <s v="Yes"/>
    <n v="20"/>
    <n v="7"/>
    <n v="58"/>
  </r>
  <r>
    <n v="3249"/>
    <x v="18"/>
    <x v="2"/>
    <x v="17"/>
    <x v="1"/>
    <n v="10"/>
    <x v="0"/>
    <s v="No"/>
    <x v="1"/>
    <s v="Yes"/>
    <n v="20"/>
    <n v="5"/>
    <n v="25"/>
  </r>
  <r>
    <n v="3250"/>
    <x v="19"/>
    <x v="1"/>
    <x v="18"/>
    <x v="0"/>
    <n v="5"/>
    <x v="1"/>
    <s v="No"/>
    <x v="1"/>
    <s v="No"/>
    <n v="0"/>
    <n v="0"/>
    <n v="5"/>
  </r>
  <r>
    <n v="3251"/>
    <x v="20"/>
    <x v="0"/>
    <x v="19"/>
    <x v="1"/>
    <n v="15"/>
    <x v="0"/>
    <s v="Yes"/>
    <x v="0"/>
    <s v="Yes"/>
    <n v="20"/>
    <n v="3"/>
    <n v="62"/>
  </r>
  <r>
    <n v="3252"/>
    <x v="21"/>
    <x v="2"/>
    <x v="20"/>
    <x v="0"/>
    <n v="10"/>
    <x v="2"/>
    <s v="No"/>
    <x v="1"/>
    <s v="Yes"/>
    <n v="20"/>
    <n v="15"/>
    <n v="15"/>
  </r>
  <r>
    <n v="3253"/>
    <x v="22"/>
    <x v="1"/>
    <x v="21"/>
    <x v="1"/>
    <n v="5"/>
    <x v="0"/>
    <s v="No"/>
    <x v="1"/>
    <s v="No"/>
    <n v="0"/>
    <n v="1"/>
    <n v="4"/>
  </r>
  <r>
    <n v="3254"/>
    <x v="23"/>
    <x v="0"/>
    <x v="22"/>
    <x v="0"/>
    <n v="15"/>
    <x v="1"/>
    <s v="Yes"/>
    <x v="0"/>
    <s v="Yes"/>
    <n v="20"/>
    <n v="20"/>
    <n v="45"/>
  </r>
  <r>
    <n v="3255"/>
    <x v="24"/>
    <x v="2"/>
    <x v="23"/>
    <x v="1"/>
    <n v="10"/>
    <x v="0"/>
    <s v="No"/>
    <x v="1"/>
    <s v="Yes"/>
    <n v="20"/>
    <n v="10"/>
    <n v="20"/>
  </r>
  <r>
    <n v="3256"/>
    <x v="25"/>
    <x v="1"/>
    <x v="24"/>
    <x v="0"/>
    <n v="5"/>
    <x v="2"/>
    <s v="No"/>
    <x v="1"/>
    <s v="No"/>
    <n v="0"/>
    <n v="0"/>
    <n v="5"/>
  </r>
  <r>
    <n v="3257"/>
    <x v="26"/>
    <x v="0"/>
    <x v="25"/>
    <x v="1"/>
    <n v="15"/>
    <x v="0"/>
    <s v="Yes"/>
    <x v="0"/>
    <s v="Yes"/>
    <n v="20"/>
    <n v="5"/>
    <n v="60"/>
  </r>
  <r>
    <n v="3258"/>
    <x v="27"/>
    <x v="2"/>
    <x v="26"/>
    <x v="0"/>
    <n v="10"/>
    <x v="1"/>
    <s v="No"/>
    <x v="1"/>
    <s v="Yes"/>
    <n v="20"/>
    <n v="15"/>
    <n v="15"/>
  </r>
  <r>
    <n v="3259"/>
    <x v="28"/>
    <x v="1"/>
    <x v="27"/>
    <x v="1"/>
    <n v="5"/>
    <x v="0"/>
    <s v="No"/>
    <x v="1"/>
    <s v="No"/>
    <n v="0"/>
    <n v="1"/>
    <n v="4"/>
  </r>
  <r>
    <n v="3260"/>
    <x v="29"/>
    <x v="0"/>
    <x v="28"/>
    <x v="0"/>
    <n v="15"/>
    <x v="2"/>
    <s v="Yes"/>
    <x v="0"/>
    <s v="Yes"/>
    <n v="20"/>
    <n v="7"/>
    <n v="58"/>
  </r>
  <r>
    <n v="3261"/>
    <x v="30"/>
    <x v="2"/>
    <x v="29"/>
    <x v="1"/>
    <n v="10"/>
    <x v="0"/>
    <s v="No"/>
    <x v="1"/>
    <s v="Yes"/>
    <n v="20"/>
    <n v="10"/>
    <n v="20"/>
  </r>
  <r>
    <n v="3262"/>
    <x v="31"/>
    <x v="1"/>
    <x v="30"/>
    <x v="0"/>
    <n v="5"/>
    <x v="1"/>
    <s v="No"/>
    <x v="1"/>
    <s v="No"/>
    <n v="0"/>
    <n v="0"/>
    <n v="5"/>
  </r>
  <r>
    <n v="3263"/>
    <x v="32"/>
    <x v="0"/>
    <x v="31"/>
    <x v="1"/>
    <n v="15"/>
    <x v="0"/>
    <s v="Yes"/>
    <x v="0"/>
    <s v="Yes"/>
    <n v="20"/>
    <n v="3"/>
    <n v="62"/>
  </r>
  <r>
    <n v="3264"/>
    <x v="33"/>
    <x v="2"/>
    <x v="32"/>
    <x v="0"/>
    <n v="10"/>
    <x v="2"/>
    <s v="No"/>
    <x v="1"/>
    <s v="Yes"/>
    <n v="20"/>
    <n v="15"/>
    <n v="15"/>
  </r>
  <r>
    <n v="3265"/>
    <x v="34"/>
    <x v="1"/>
    <x v="33"/>
    <x v="1"/>
    <n v="5"/>
    <x v="0"/>
    <s v="No"/>
    <x v="1"/>
    <s v="No"/>
    <n v="0"/>
    <n v="1"/>
    <n v="4"/>
  </r>
  <r>
    <n v="3266"/>
    <x v="35"/>
    <x v="1"/>
    <x v="34"/>
    <x v="0"/>
    <n v="5"/>
    <x v="0"/>
    <s v="No"/>
    <x v="1"/>
    <s v="No"/>
    <n v="0"/>
    <n v="0"/>
    <n v="5"/>
  </r>
  <r>
    <n v="3267"/>
    <x v="36"/>
    <x v="0"/>
    <x v="35"/>
    <x v="1"/>
    <n v="15"/>
    <x v="2"/>
    <s v="Yes"/>
    <x v="0"/>
    <s v="Yes"/>
    <n v="20"/>
    <n v="7"/>
    <n v="58"/>
  </r>
  <r>
    <n v="3268"/>
    <x v="37"/>
    <x v="2"/>
    <x v="36"/>
    <x v="0"/>
    <n v="10"/>
    <x v="1"/>
    <s v="No"/>
    <x v="1"/>
    <s v="Yes"/>
    <n v="20"/>
    <n v="10"/>
    <n v="20"/>
  </r>
  <r>
    <n v="3269"/>
    <x v="38"/>
    <x v="1"/>
    <x v="37"/>
    <x v="1"/>
    <n v="5"/>
    <x v="2"/>
    <s v="No"/>
    <x v="1"/>
    <s v="No"/>
    <n v="0"/>
    <n v="1"/>
    <n v="4"/>
  </r>
  <r>
    <n v="3270"/>
    <x v="39"/>
    <x v="0"/>
    <x v="38"/>
    <x v="0"/>
    <n v="15"/>
    <x v="0"/>
    <s v="Yes"/>
    <x v="0"/>
    <s v="Yes"/>
    <n v="20"/>
    <n v="15"/>
    <n v="50"/>
  </r>
  <r>
    <n v="3271"/>
    <x v="40"/>
    <x v="2"/>
    <x v="39"/>
    <x v="1"/>
    <n v="10"/>
    <x v="0"/>
    <s v="No"/>
    <x v="1"/>
    <s v="Yes"/>
    <n v="20"/>
    <n v="5"/>
    <n v="25"/>
  </r>
  <r>
    <n v="3272"/>
    <x v="41"/>
    <x v="1"/>
    <x v="40"/>
    <x v="0"/>
    <n v="5"/>
    <x v="1"/>
    <s v="No"/>
    <x v="1"/>
    <s v="No"/>
    <n v="0"/>
    <n v="0"/>
    <n v="5"/>
  </r>
  <r>
    <n v="3273"/>
    <x v="42"/>
    <x v="0"/>
    <x v="41"/>
    <x v="1"/>
    <n v="15"/>
    <x v="2"/>
    <s v="Yes"/>
    <x v="0"/>
    <s v="Yes"/>
    <n v="20"/>
    <n v="20"/>
    <n v="45"/>
  </r>
  <r>
    <n v="3274"/>
    <x v="43"/>
    <x v="2"/>
    <x v="42"/>
    <x v="0"/>
    <n v="10"/>
    <x v="2"/>
    <s v="No"/>
    <x v="1"/>
    <s v="Yes"/>
    <n v="20"/>
    <n v="12"/>
    <n v="18"/>
  </r>
  <r>
    <n v="3275"/>
    <x v="44"/>
    <x v="1"/>
    <x v="43"/>
    <x v="1"/>
    <n v="5"/>
    <x v="0"/>
    <s v="No"/>
    <x v="1"/>
    <s v="No"/>
    <n v="0"/>
    <n v="2"/>
    <n v="3"/>
  </r>
  <r>
    <n v="3276"/>
    <x v="45"/>
    <x v="0"/>
    <x v="44"/>
    <x v="0"/>
    <n v="15"/>
    <x v="1"/>
    <s v="Yes"/>
    <x v="0"/>
    <s v="Yes"/>
    <n v="20"/>
    <n v="5"/>
    <n v="60"/>
  </r>
  <r>
    <n v="3277"/>
    <x v="46"/>
    <x v="2"/>
    <x v="45"/>
    <x v="1"/>
    <n v="10"/>
    <x v="0"/>
    <s v="No"/>
    <x v="1"/>
    <s v="Yes"/>
    <n v="20"/>
    <n v="10"/>
    <n v="20"/>
  </r>
  <r>
    <n v="3278"/>
    <x v="47"/>
    <x v="1"/>
    <x v="46"/>
    <x v="0"/>
    <n v="5"/>
    <x v="2"/>
    <s v="No"/>
    <x v="1"/>
    <s v="No"/>
    <n v="0"/>
    <n v="0"/>
    <n v="5"/>
  </r>
  <r>
    <n v="3279"/>
    <x v="48"/>
    <x v="0"/>
    <x v="47"/>
    <x v="1"/>
    <n v="15"/>
    <x v="0"/>
    <s v="Yes"/>
    <x v="0"/>
    <s v="Yes"/>
    <n v="20"/>
    <n v="3"/>
    <n v="62"/>
  </r>
  <r>
    <n v="3280"/>
    <x v="49"/>
    <x v="2"/>
    <x v="48"/>
    <x v="0"/>
    <n v="10"/>
    <x v="1"/>
    <s v="No"/>
    <x v="1"/>
    <s v="Yes"/>
    <n v="20"/>
    <n v="15"/>
    <n v="15"/>
  </r>
  <r>
    <n v="3281"/>
    <x v="50"/>
    <x v="1"/>
    <x v="49"/>
    <x v="1"/>
    <n v="5"/>
    <x v="0"/>
    <s v="No"/>
    <x v="1"/>
    <s v="No"/>
    <n v="0"/>
    <n v="1"/>
    <n v="4"/>
  </r>
  <r>
    <n v="3282"/>
    <x v="51"/>
    <x v="0"/>
    <x v="50"/>
    <x v="0"/>
    <n v="15"/>
    <x v="2"/>
    <s v="Yes"/>
    <x v="0"/>
    <s v="Yes"/>
    <n v="20"/>
    <n v="7"/>
    <n v="58"/>
  </r>
  <r>
    <n v="3283"/>
    <x v="52"/>
    <x v="2"/>
    <x v="51"/>
    <x v="1"/>
    <n v="10"/>
    <x v="0"/>
    <s v="No"/>
    <x v="1"/>
    <s v="Yes"/>
    <n v="20"/>
    <n v="10"/>
    <n v="20"/>
  </r>
  <r>
    <n v="3284"/>
    <x v="53"/>
    <x v="1"/>
    <x v="52"/>
    <x v="0"/>
    <n v="5"/>
    <x v="1"/>
    <s v="No"/>
    <x v="1"/>
    <s v="No"/>
    <n v="0"/>
    <n v="0"/>
    <n v="5"/>
  </r>
  <r>
    <n v="3285"/>
    <x v="54"/>
    <x v="0"/>
    <x v="53"/>
    <x v="1"/>
    <n v="15"/>
    <x v="0"/>
    <s v="Yes"/>
    <x v="0"/>
    <s v="Yes"/>
    <n v="20"/>
    <n v="20"/>
    <n v="45"/>
  </r>
  <r>
    <n v="3286"/>
    <x v="55"/>
    <x v="2"/>
    <x v="54"/>
    <x v="0"/>
    <n v="10"/>
    <x v="2"/>
    <s v="No"/>
    <x v="1"/>
    <s v="Yes"/>
    <n v="20"/>
    <n v="15"/>
    <n v="15"/>
  </r>
  <r>
    <n v="3287"/>
    <x v="56"/>
    <x v="1"/>
    <x v="55"/>
    <x v="1"/>
    <n v="5"/>
    <x v="0"/>
    <s v="No"/>
    <x v="1"/>
    <s v="No"/>
    <n v="0"/>
    <n v="1"/>
    <n v="4"/>
  </r>
  <r>
    <n v="3288"/>
    <x v="57"/>
    <x v="0"/>
    <x v="56"/>
    <x v="0"/>
    <n v="15"/>
    <x v="1"/>
    <s v="Yes"/>
    <x v="0"/>
    <s v="Yes"/>
    <n v="20"/>
    <n v="3"/>
    <n v="62"/>
  </r>
  <r>
    <n v="3289"/>
    <x v="58"/>
    <x v="2"/>
    <x v="57"/>
    <x v="1"/>
    <n v="10"/>
    <x v="0"/>
    <s v="No"/>
    <x v="1"/>
    <s v="Yes"/>
    <n v="20"/>
    <n v="10"/>
    <n v="20"/>
  </r>
  <r>
    <n v="3290"/>
    <x v="59"/>
    <x v="1"/>
    <x v="58"/>
    <x v="0"/>
    <n v="5"/>
    <x v="2"/>
    <s v="No"/>
    <x v="1"/>
    <s v="No"/>
    <n v="0"/>
    <n v="0"/>
    <n v="5"/>
  </r>
  <r>
    <n v="3291"/>
    <x v="60"/>
    <x v="0"/>
    <x v="59"/>
    <x v="1"/>
    <n v="15"/>
    <x v="0"/>
    <s v="Yes"/>
    <x v="0"/>
    <s v="Yes"/>
    <n v="20"/>
    <n v="5"/>
    <n v="60"/>
  </r>
  <r>
    <n v="3292"/>
    <x v="61"/>
    <x v="2"/>
    <x v="60"/>
    <x v="0"/>
    <n v="10"/>
    <x v="1"/>
    <s v="No"/>
    <x v="1"/>
    <s v="Yes"/>
    <n v="20"/>
    <n v="15"/>
    <n v="15"/>
  </r>
  <r>
    <n v="3293"/>
    <x v="62"/>
    <x v="1"/>
    <x v="61"/>
    <x v="1"/>
    <n v="5"/>
    <x v="0"/>
    <s v="No"/>
    <x v="1"/>
    <s v="No"/>
    <n v="0"/>
    <n v="1"/>
    <n v="4"/>
  </r>
  <r>
    <n v="3294"/>
    <x v="63"/>
    <x v="0"/>
    <x v="62"/>
    <x v="0"/>
    <n v="15"/>
    <x v="2"/>
    <s v="Yes"/>
    <x v="0"/>
    <s v="Yes"/>
    <n v="20"/>
    <n v="20"/>
    <n v="45"/>
  </r>
  <r>
    <n v="3295"/>
    <x v="64"/>
    <x v="2"/>
    <x v="63"/>
    <x v="1"/>
    <n v="10"/>
    <x v="0"/>
    <s v="No"/>
    <x v="1"/>
    <s v="Yes"/>
    <n v="20"/>
    <n v="5"/>
    <n v="25"/>
  </r>
  <r>
    <n v="3296"/>
    <x v="65"/>
    <x v="1"/>
    <x v="64"/>
    <x v="1"/>
    <n v="5"/>
    <x v="0"/>
    <s v="No"/>
    <x v="1"/>
    <s v="No"/>
    <n v="0"/>
    <n v="0"/>
    <n v="5"/>
  </r>
  <r>
    <n v="3297"/>
    <x v="66"/>
    <x v="0"/>
    <x v="65"/>
    <x v="0"/>
    <n v="15"/>
    <x v="2"/>
    <s v="Yes"/>
    <x v="0"/>
    <s v="Yes"/>
    <n v="20"/>
    <n v="7"/>
    <n v="58"/>
  </r>
  <r>
    <n v="3298"/>
    <x v="67"/>
    <x v="2"/>
    <x v="66"/>
    <x v="1"/>
    <n v="10"/>
    <x v="1"/>
    <s v="No"/>
    <x v="1"/>
    <s v="Yes"/>
    <n v="20"/>
    <n v="10"/>
    <n v="20"/>
  </r>
  <r>
    <n v="3299"/>
    <x v="68"/>
    <x v="1"/>
    <x v="67"/>
    <x v="0"/>
    <n v="5"/>
    <x v="2"/>
    <s v="No"/>
    <x v="1"/>
    <s v="No"/>
    <n v="0"/>
    <n v="1"/>
    <n v="4"/>
  </r>
  <r>
    <n v="3300"/>
    <x v="69"/>
    <x v="0"/>
    <x v="68"/>
    <x v="1"/>
    <n v="15"/>
    <x v="0"/>
    <s v="Yes"/>
    <x v="0"/>
    <s v="Yes"/>
    <n v="20"/>
    <n v="15"/>
    <n v="50"/>
  </r>
  <r>
    <n v="3301"/>
    <x v="70"/>
    <x v="2"/>
    <x v="69"/>
    <x v="0"/>
    <n v="10"/>
    <x v="0"/>
    <s v="No"/>
    <x v="1"/>
    <s v="Yes"/>
    <n v="20"/>
    <n v="5"/>
    <n v="25"/>
  </r>
  <r>
    <n v="3302"/>
    <x v="71"/>
    <x v="1"/>
    <x v="70"/>
    <x v="1"/>
    <n v="5"/>
    <x v="1"/>
    <s v="No"/>
    <x v="1"/>
    <s v="No"/>
    <n v="0"/>
    <n v="0"/>
    <n v="5"/>
  </r>
  <r>
    <n v="3303"/>
    <x v="72"/>
    <x v="0"/>
    <x v="71"/>
    <x v="0"/>
    <n v="15"/>
    <x v="2"/>
    <s v="Yes"/>
    <x v="0"/>
    <s v="Yes"/>
    <n v="20"/>
    <n v="20"/>
    <n v="45"/>
  </r>
  <r>
    <n v="3304"/>
    <x v="73"/>
    <x v="2"/>
    <x v="72"/>
    <x v="1"/>
    <n v="10"/>
    <x v="2"/>
    <s v="No"/>
    <x v="1"/>
    <s v="Yes"/>
    <n v="20"/>
    <n v="12"/>
    <n v="18"/>
  </r>
  <r>
    <n v="3305"/>
    <x v="74"/>
    <x v="1"/>
    <x v="73"/>
    <x v="0"/>
    <n v="5"/>
    <x v="0"/>
    <s v="No"/>
    <x v="1"/>
    <s v="No"/>
    <n v="0"/>
    <n v="2"/>
    <n v="3"/>
  </r>
  <r>
    <n v="3306"/>
    <x v="75"/>
    <x v="0"/>
    <x v="74"/>
    <x v="1"/>
    <n v="15"/>
    <x v="1"/>
    <s v="Yes"/>
    <x v="0"/>
    <s v="Yes"/>
    <n v="20"/>
    <n v="5"/>
    <n v="60"/>
  </r>
  <r>
    <n v="3307"/>
    <x v="76"/>
    <x v="2"/>
    <x v="75"/>
    <x v="0"/>
    <n v="10"/>
    <x v="0"/>
    <s v="No"/>
    <x v="1"/>
    <s v="Yes"/>
    <n v="20"/>
    <n v="10"/>
    <n v="20"/>
  </r>
  <r>
    <n v="3308"/>
    <x v="77"/>
    <x v="1"/>
    <x v="76"/>
    <x v="1"/>
    <n v="5"/>
    <x v="2"/>
    <s v="No"/>
    <x v="1"/>
    <s v="No"/>
    <n v="0"/>
    <n v="0"/>
    <n v="5"/>
  </r>
  <r>
    <n v="3309"/>
    <x v="78"/>
    <x v="0"/>
    <x v="77"/>
    <x v="0"/>
    <n v="15"/>
    <x v="0"/>
    <s v="Yes"/>
    <x v="0"/>
    <s v="Yes"/>
    <n v="20"/>
    <n v="3"/>
    <n v="62"/>
  </r>
  <r>
    <n v="3310"/>
    <x v="79"/>
    <x v="2"/>
    <x v="78"/>
    <x v="1"/>
    <n v="10"/>
    <x v="1"/>
    <s v="No"/>
    <x v="1"/>
    <s v="Yes"/>
    <n v="20"/>
    <n v="15"/>
    <n v="15"/>
  </r>
  <r>
    <n v="3311"/>
    <x v="80"/>
    <x v="1"/>
    <x v="79"/>
    <x v="0"/>
    <n v="5"/>
    <x v="0"/>
    <s v="No"/>
    <x v="1"/>
    <s v="No"/>
    <n v="0"/>
    <n v="1"/>
    <n v="4"/>
  </r>
  <r>
    <n v="3312"/>
    <x v="81"/>
    <x v="0"/>
    <x v="80"/>
    <x v="1"/>
    <n v="15"/>
    <x v="2"/>
    <s v="Yes"/>
    <x v="0"/>
    <s v="Yes"/>
    <n v="20"/>
    <n v="7"/>
    <n v="58"/>
  </r>
  <r>
    <n v="3313"/>
    <x v="82"/>
    <x v="2"/>
    <x v="81"/>
    <x v="0"/>
    <n v="10"/>
    <x v="0"/>
    <s v="No"/>
    <x v="1"/>
    <s v="Yes"/>
    <n v="20"/>
    <n v="10"/>
    <n v="20"/>
  </r>
  <r>
    <n v="3314"/>
    <x v="83"/>
    <x v="1"/>
    <x v="82"/>
    <x v="1"/>
    <n v="5"/>
    <x v="1"/>
    <s v="No"/>
    <x v="1"/>
    <s v="No"/>
    <n v="0"/>
    <n v="0"/>
    <n v="5"/>
  </r>
  <r>
    <n v="3315"/>
    <x v="84"/>
    <x v="0"/>
    <x v="83"/>
    <x v="0"/>
    <n v="15"/>
    <x v="0"/>
    <s v="Yes"/>
    <x v="0"/>
    <s v="Yes"/>
    <n v="20"/>
    <n v="20"/>
    <n v="45"/>
  </r>
  <r>
    <n v="3316"/>
    <x v="85"/>
    <x v="2"/>
    <x v="84"/>
    <x v="1"/>
    <n v="10"/>
    <x v="2"/>
    <s v="No"/>
    <x v="1"/>
    <s v="Yes"/>
    <n v="20"/>
    <n v="15"/>
    <n v="15"/>
  </r>
  <r>
    <n v="3317"/>
    <x v="86"/>
    <x v="1"/>
    <x v="85"/>
    <x v="0"/>
    <n v="5"/>
    <x v="0"/>
    <s v="No"/>
    <x v="1"/>
    <s v="No"/>
    <n v="0"/>
    <n v="1"/>
    <n v="4"/>
  </r>
  <r>
    <n v="3318"/>
    <x v="87"/>
    <x v="0"/>
    <x v="86"/>
    <x v="1"/>
    <n v="15"/>
    <x v="1"/>
    <s v="Yes"/>
    <x v="0"/>
    <s v="Yes"/>
    <n v="20"/>
    <n v="3"/>
    <n v="62"/>
  </r>
  <r>
    <n v="3319"/>
    <x v="88"/>
    <x v="2"/>
    <x v="87"/>
    <x v="0"/>
    <n v="10"/>
    <x v="0"/>
    <s v="No"/>
    <x v="1"/>
    <s v="Yes"/>
    <n v="20"/>
    <n v="10"/>
    <n v="20"/>
  </r>
  <r>
    <n v="3320"/>
    <x v="89"/>
    <x v="1"/>
    <x v="88"/>
    <x v="1"/>
    <n v="5"/>
    <x v="2"/>
    <s v="No"/>
    <x v="1"/>
    <s v="No"/>
    <n v="0"/>
    <n v="0"/>
    <n v="5"/>
  </r>
  <r>
    <n v="3321"/>
    <x v="90"/>
    <x v="0"/>
    <x v="89"/>
    <x v="0"/>
    <n v="15"/>
    <x v="0"/>
    <s v="Yes"/>
    <x v="0"/>
    <s v="Yes"/>
    <n v="20"/>
    <n v="5"/>
    <n v="60"/>
  </r>
  <r>
    <n v="3322"/>
    <x v="91"/>
    <x v="2"/>
    <x v="90"/>
    <x v="1"/>
    <n v="10"/>
    <x v="1"/>
    <s v="No"/>
    <x v="1"/>
    <s v="Yes"/>
    <n v="20"/>
    <n v="15"/>
    <n v="15"/>
  </r>
  <r>
    <n v="3323"/>
    <x v="92"/>
    <x v="1"/>
    <x v="91"/>
    <x v="0"/>
    <n v="5"/>
    <x v="0"/>
    <s v="No"/>
    <x v="1"/>
    <s v="No"/>
    <n v="0"/>
    <n v="1"/>
    <n v="4"/>
  </r>
  <r>
    <n v="3324"/>
    <x v="93"/>
    <x v="0"/>
    <x v="92"/>
    <x v="1"/>
    <n v="15"/>
    <x v="2"/>
    <s v="Yes"/>
    <x v="0"/>
    <s v="Yes"/>
    <n v="20"/>
    <n v="20"/>
    <n v="45"/>
  </r>
  <r>
    <n v="3325"/>
    <x v="94"/>
    <x v="2"/>
    <x v="93"/>
    <x v="0"/>
    <n v="10"/>
    <x v="2"/>
    <s v="No"/>
    <x v="1"/>
    <s v="Yes"/>
    <n v="20"/>
    <n v="15"/>
    <n v="15"/>
  </r>
  <r>
    <n v="3326"/>
    <x v="95"/>
    <x v="1"/>
    <x v="94"/>
    <x v="1"/>
    <n v="5"/>
    <x v="1"/>
    <s v="No"/>
    <x v="1"/>
    <s v="No"/>
    <n v="0"/>
    <n v="0"/>
    <n v="5"/>
  </r>
  <r>
    <n v="3327"/>
    <x v="96"/>
    <x v="0"/>
    <x v="95"/>
    <x v="0"/>
    <n v="15"/>
    <x v="0"/>
    <s v="Yes"/>
    <x v="0"/>
    <s v="Yes"/>
    <n v="20"/>
    <n v="7"/>
    <n v="58"/>
  </r>
  <r>
    <n v="3328"/>
    <x v="97"/>
    <x v="2"/>
    <x v="96"/>
    <x v="1"/>
    <n v="10"/>
    <x v="1"/>
    <s v="No"/>
    <x v="1"/>
    <s v="Yes"/>
    <n v="20"/>
    <n v="10"/>
    <n v="20"/>
  </r>
  <r>
    <n v="3329"/>
    <x v="98"/>
    <x v="1"/>
    <x v="97"/>
    <x v="0"/>
    <n v="5"/>
    <x v="2"/>
    <s v="No"/>
    <x v="1"/>
    <s v="No"/>
    <n v="0"/>
    <n v="1"/>
    <n v="4"/>
  </r>
  <r>
    <n v="3330"/>
    <x v="99"/>
    <x v="0"/>
    <x v="98"/>
    <x v="1"/>
    <n v="15"/>
    <x v="0"/>
    <s v="Yes"/>
    <x v="0"/>
    <s v="Yes"/>
    <n v="20"/>
    <n v="15"/>
    <n v="50"/>
  </r>
  <r>
    <n v="3331"/>
    <x v="100"/>
    <x v="2"/>
    <x v="99"/>
    <x v="0"/>
    <n v="10"/>
    <x v="0"/>
    <s v="No"/>
    <x v="1"/>
    <s v="Yes"/>
    <n v="20"/>
    <n v="5"/>
    <n v="25"/>
  </r>
  <r>
    <n v="3332"/>
    <x v="101"/>
    <x v="1"/>
    <x v="100"/>
    <x v="1"/>
    <n v="5"/>
    <x v="1"/>
    <s v="No"/>
    <x v="1"/>
    <s v="No"/>
    <n v="0"/>
    <n v="0"/>
    <n v="5"/>
  </r>
  <r>
    <n v="3333"/>
    <x v="102"/>
    <x v="0"/>
    <x v="101"/>
    <x v="0"/>
    <n v="15"/>
    <x v="2"/>
    <s v="Yes"/>
    <x v="0"/>
    <s v="Yes"/>
    <n v="20"/>
    <n v="20"/>
    <n v="45"/>
  </r>
  <r>
    <n v="3334"/>
    <x v="103"/>
    <x v="2"/>
    <x v="102"/>
    <x v="1"/>
    <n v="10"/>
    <x v="2"/>
    <s v="No"/>
    <x v="1"/>
    <s v="Yes"/>
    <n v="20"/>
    <n v="12"/>
    <n v="18"/>
  </r>
  <r>
    <n v="3335"/>
    <x v="104"/>
    <x v="1"/>
    <x v="103"/>
    <x v="0"/>
    <n v="5"/>
    <x v="0"/>
    <s v="No"/>
    <x v="1"/>
    <s v="No"/>
    <n v="0"/>
    <n v="2"/>
    <n v="3"/>
  </r>
  <r>
    <n v="3336"/>
    <x v="105"/>
    <x v="1"/>
    <x v="104"/>
    <x v="0"/>
    <n v="5"/>
    <x v="0"/>
    <s v="No"/>
    <x v="1"/>
    <s v="No"/>
    <n v="0"/>
    <n v="0"/>
    <n v="5"/>
  </r>
  <r>
    <n v="3337"/>
    <x v="106"/>
    <x v="0"/>
    <x v="105"/>
    <x v="1"/>
    <n v="15"/>
    <x v="2"/>
    <s v="Yes"/>
    <x v="0"/>
    <s v="Yes"/>
    <n v="20"/>
    <n v="7"/>
    <n v="58"/>
  </r>
  <r>
    <n v="3338"/>
    <x v="107"/>
    <x v="2"/>
    <x v="106"/>
    <x v="0"/>
    <n v="10"/>
    <x v="1"/>
    <s v="No"/>
    <x v="1"/>
    <s v="Yes"/>
    <n v="20"/>
    <n v="10"/>
    <n v="20"/>
  </r>
  <r>
    <n v="3339"/>
    <x v="108"/>
    <x v="1"/>
    <x v="107"/>
    <x v="1"/>
    <n v="5"/>
    <x v="2"/>
    <s v="No"/>
    <x v="1"/>
    <s v="No"/>
    <n v="0"/>
    <n v="1"/>
    <n v="4"/>
  </r>
  <r>
    <n v="3340"/>
    <x v="109"/>
    <x v="0"/>
    <x v="108"/>
    <x v="0"/>
    <n v="15"/>
    <x v="0"/>
    <s v="Yes"/>
    <x v="0"/>
    <s v="Yes"/>
    <n v="20"/>
    <n v="15"/>
    <n v="50"/>
  </r>
  <r>
    <n v="3341"/>
    <x v="110"/>
    <x v="2"/>
    <x v="109"/>
    <x v="1"/>
    <n v="10"/>
    <x v="0"/>
    <s v="No"/>
    <x v="1"/>
    <s v="Yes"/>
    <n v="20"/>
    <n v="5"/>
    <n v="25"/>
  </r>
  <r>
    <n v="3342"/>
    <x v="111"/>
    <x v="1"/>
    <x v="110"/>
    <x v="0"/>
    <n v="5"/>
    <x v="1"/>
    <s v="No"/>
    <x v="1"/>
    <s v="No"/>
    <n v="0"/>
    <n v="0"/>
    <n v="5"/>
  </r>
  <r>
    <n v="3343"/>
    <x v="112"/>
    <x v="0"/>
    <x v="111"/>
    <x v="1"/>
    <n v="15"/>
    <x v="2"/>
    <s v="Yes"/>
    <x v="0"/>
    <s v="Yes"/>
    <n v="20"/>
    <n v="20"/>
    <n v="45"/>
  </r>
  <r>
    <n v="3344"/>
    <x v="113"/>
    <x v="2"/>
    <x v="112"/>
    <x v="0"/>
    <n v="10"/>
    <x v="2"/>
    <s v="No"/>
    <x v="1"/>
    <s v="Yes"/>
    <n v="20"/>
    <n v="12"/>
    <n v="18"/>
  </r>
  <r>
    <n v="3345"/>
    <x v="114"/>
    <x v="1"/>
    <x v="113"/>
    <x v="1"/>
    <n v="5"/>
    <x v="0"/>
    <s v="No"/>
    <x v="1"/>
    <s v="No"/>
    <n v="0"/>
    <n v="2"/>
    <n v="3"/>
  </r>
  <r>
    <n v="3346"/>
    <x v="115"/>
    <x v="0"/>
    <x v="114"/>
    <x v="0"/>
    <n v="15"/>
    <x v="1"/>
    <s v="Yes"/>
    <x v="0"/>
    <s v="Yes"/>
    <n v="20"/>
    <n v="5"/>
    <n v="60"/>
  </r>
  <r>
    <n v="3347"/>
    <x v="116"/>
    <x v="2"/>
    <x v="115"/>
    <x v="1"/>
    <n v="10"/>
    <x v="0"/>
    <s v="No"/>
    <x v="1"/>
    <s v="Yes"/>
    <n v="20"/>
    <n v="10"/>
    <n v="20"/>
  </r>
  <r>
    <n v="3348"/>
    <x v="117"/>
    <x v="1"/>
    <x v="116"/>
    <x v="0"/>
    <n v="5"/>
    <x v="2"/>
    <s v="No"/>
    <x v="1"/>
    <s v="No"/>
    <n v="0"/>
    <n v="0"/>
    <n v="5"/>
  </r>
  <r>
    <n v="3349"/>
    <x v="93"/>
    <x v="0"/>
    <x v="117"/>
    <x v="1"/>
    <n v="15"/>
    <x v="0"/>
    <s v="Yes"/>
    <x v="0"/>
    <s v="Yes"/>
    <n v="20"/>
    <n v="3"/>
    <n v="62"/>
  </r>
  <r>
    <n v="3350"/>
    <x v="118"/>
    <x v="2"/>
    <x v="118"/>
    <x v="0"/>
    <n v="10"/>
    <x v="1"/>
    <s v="No"/>
    <x v="1"/>
    <s v="Yes"/>
    <n v="20"/>
    <n v="15"/>
    <n v="15"/>
  </r>
  <r>
    <n v="3351"/>
    <x v="119"/>
    <x v="1"/>
    <x v="119"/>
    <x v="1"/>
    <n v="5"/>
    <x v="0"/>
    <s v="No"/>
    <x v="1"/>
    <s v="No"/>
    <n v="0"/>
    <n v="1"/>
    <n v="4"/>
  </r>
  <r>
    <n v="3352"/>
    <x v="120"/>
    <x v="0"/>
    <x v="120"/>
    <x v="0"/>
    <n v="15"/>
    <x v="2"/>
    <s v="Yes"/>
    <x v="0"/>
    <s v="Yes"/>
    <n v="20"/>
    <n v="7"/>
    <n v="58"/>
  </r>
  <r>
    <n v="3353"/>
    <x v="121"/>
    <x v="2"/>
    <x v="121"/>
    <x v="1"/>
    <n v="10"/>
    <x v="0"/>
    <s v="No"/>
    <x v="1"/>
    <s v="Yes"/>
    <n v="20"/>
    <n v="10"/>
    <n v="20"/>
  </r>
  <r>
    <n v="3354"/>
    <x v="122"/>
    <x v="1"/>
    <x v="122"/>
    <x v="0"/>
    <n v="5"/>
    <x v="1"/>
    <s v="No"/>
    <x v="1"/>
    <s v="No"/>
    <n v="0"/>
    <n v="0"/>
    <n v="5"/>
  </r>
  <r>
    <n v="3355"/>
    <x v="123"/>
    <x v="0"/>
    <x v="123"/>
    <x v="1"/>
    <n v="15"/>
    <x v="0"/>
    <s v="Yes"/>
    <x v="0"/>
    <s v="Yes"/>
    <n v="20"/>
    <n v="20"/>
    <n v="45"/>
  </r>
  <r>
    <n v="3356"/>
    <x v="124"/>
    <x v="2"/>
    <x v="124"/>
    <x v="0"/>
    <n v="10"/>
    <x v="2"/>
    <s v="No"/>
    <x v="1"/>
    <s v="Yes"/>
    <n v="20"/>
    <n v="15"/>
    <n v="15"/>
  </r>
  <r>
    <n v="3357"/>
    <x v="125"/>
    <x v="1"/>
    <x v="125"/>
    <x v="1"/>
    <n v="5"/>
    <x v="0"/>
    <s v="No"/>
    <x v="1"/>
    <s v="No"/>
    <n v="0"/>
    <n v="1"/>
    <n v="4"/>
  </r>
  <r>
    <n v="3358"/>
    <x v="126"/>
    <x v="0"/>
    <x v="126"/>
    <x v="0"/>
    <n v="15"/>
    <x v="1"/>
    <s v="Yes"/>
    <x v="0"/>
    <s v="Yes"/>
    <n v="20"/>
    <n v="3"/>
    <n v="62"/>
  </r>
  <r>
    <n v="3359"/>
    <x v="127"/>
    <x v="2"/>
    <x v="127"/>
    <x v="1"/>
    <n v="10"/>
    <x v="0"/>
    <s v="No"/>
    <x v="1"/>
    <s v="Yes"/>
    <n v="20"/>
    <n v="10"/>
    <n v="20"/>
  </r>
  <r>
    <n v="3360"/>
    <x v="128"/>
    <x v="1"/>
    <x v="128"/>
    <x v="0"/>
    <n v="5"/>
    <x v="2"/>
    <s v="No"/>
    <x v="1"/>
    <s v="No"/>
    <n v="0"/>
    <n v="0"/>
    <n v="5"/>
  </r>
  <r>
    <n v="3361"/>
    <x v="129"/>
    <x v="0"/>
    <x v="129"/>
    <x v="1"/>
    <n v="15"/>
    <x v="0"/>
    <s v="Yes"/>
    <x v="0"/>
    <s v="Yes"/>
    <n v="20"/>
    <n v="15"/>
    <n v="50"/>
  </r>
  <r>
    <n v="3362"/>
    <x v="130"/>
    <x v="2"/>
    <x v="130"/>
    <x v="0"/>
    <n v="10"/>
    <x v="1"/>
    <s v="No"/>
    <x v="1"/>
    <s v="Yes"/>
    <n v="20"/>
    <n v="15"/>
    <n v="15"/>
  </r>
  <r>
    <n v="3363"/>
    <x v="131"/>
    <x v="1"/>
    <x v="131"/>
    <x v="1"/>
    <n v="5"/>
    <x v="0"/>
    <s v="No"/>
    <x v="1"/>
    <s v="No"/>
    <n v="0"/>
    <n v="1"/>
    <n v="4"/>
  </r>
  <r>
    <n v="3364"/>
    <x v="132"/>
    <x v="0"/>
    <x v="132"/>
    <x v="0"/>
    <n v="15"/>
    <x v="2"/>
    <s v="Yes"/>
    <x v="0"/>
    <s v="Yes"/>
    <n v="20"/>
    <n v="7"/>
    <n v="58"/>
  </r>
  <r>
    <n v="3365"/>
    <x v="133"/>
    <x v="2"/>
    <x v="133"/>
    <x v="1"/>
    <n v="10"/>
    <x v="0"/>
    <s v="No"/>
    <x v="1"/>
    <s v="Yes"/>
    <n v="20"/>
    <n v="10"/>
    <n v="20"/>
  </r>
  <r>
    <n v="3366"/>
    <x v="134"/>
    <x v="1"/>
    <x v="134"/>
    <x v="0"/>
    <n v="5"/>
    <x v="0"/>
    <s v="No"/>
    <x v="1"/>
    <s v="No"/>
    <n v="0"/>
    <n v="0"/>
    <n v="5"/>
  </r>
  <r>
    <n v="3367"/>
    <x v="135"/>
    <x v="0"/>
    <x v="135"/>
    <x v="1"/>
    <n v="15"/>
    <x v="2"/>
    <s v="Yes"/>
    <x v="0"/>
    <s v="Yes"/>
    <n v="20"/>
    <n v="7"/>
    <n v="58"/>
  </r>
  <r>
    <n v="3368"/>
    <x v="136"/>
    <x v="2"/>
    <x v="136"/>
    <x v="0"/>
    <n v="10"/>
    <x v="1"/>
    <s v="No"/>
    <x v="1"/>
    <s v="Yes"/>
    <n v="20"/>
    <n v="10"/>
    <n v="20"/>
  </r>
  <r>
    <n v="3369"/>
    <x v="137"/>
    <x v="1"/>
    <x v="137"/>
    <x v="1"/>
    <n v="5"/>
    <x v="2"/>
    <s v="No"/>
    <x v="1"/>
    <s v="No"/>
    <n v="0"/>
    <n v="1"/>
    <n v="4"/>
  </r>
  <r>
    <n v="3370"/>
    <x v="138"/>
    <x v="0"/>
    <x v="138"/>
    <x v="0"/>
    <n v="15"/>
    <x v="0"/>
    <s v="Yes"/>
    <x v="0"/>
    <s v="Yes"/>
    <n v="20"/>
    <n v="15"/>
    <n v="50"/>
  </r>
  <r>
    <n v="3371"/>
    <x v="139"/>
    <x v="2"/>
    <x v="139"/>
    <x v="1"/>
    <n v="10"/>
    <x v="0"/>
    <s v="No"/>
    <x v="1"/>
    <s v="Yes"/>
    <n v="20"/>
    <n v="5"/>
    <n v="25"/>
  </r>
  <r>
    <n v="3372"/>
    <x v="140"/>
    <x v="1"/>
    <x v="140"/>
    <x v="0"/>
    <n v="5"/>
    <x v="1"/>
    <s v="No"/>
    <x v="1"/>
    <s v="No"/>
    <n v="0"/>
    <n v="0"/>
    <n v="5"/>
  </r>
  <r>
    <n v="3373"/>
    <x v="141"/>
    <x v="0"/>
    <x v="141"/>
    <x v="1"/>
    <n v="15"/>
    <x v="2"/>
    <s v="Yes"/>
    <x v="0"/>
    <s v="Yes"/>
    <n v="20"/>
    <n v="20"/>
    <n v="45"/>
  </r>
  <r>
    <n v="3374"/>
    <x v="142"/>
    <x v="2"/>
    <x v="142"/>
    <x v="0"/>
    <n v="10"/>
    <x v="2"/>
    <s v="No"/>
    <x v="1"/>
    <s v="Yes"/>
    <n v="20"/>
    <n v="12"/>
    <n v="18"/>
  </r>
  <r>
    <n v="3375"/>
    <x v="143"/>
    <x v="1"/>
    <x v="143"/>
    <x v="1"/>
    <n v="5"/>
    <x v="0"/>
    <s v="No"/>
    <x v="1"/>
    <s v="No"/>
    <n v="0"/>
    <n v="2"/>
    <n v="3"/>
  </r>
  <r>
    <n v="3376"/>
    <x v="144"/>
    <x v="0"/>
    <x v="144"/>
    <x v="0"/>
    <n v="15"/>
    <x v="1"/>
    <s v="Yes"/>
    <x v="0"/>
    <s v="Yes"/>
    <n v="20"/>
    <n v="5"/>
    <n v="60"/>
  </r>
  <r>
    <n v="3377"/>
    <x v="145"/>
    <x v="2"/>
    <x v="145"/>
    <x v="1"/>
    <n v="10"/>
    <x v="0"/>
    <s v="No"/>
    <x v="1"/>
    <s v="Yes"/>
    <n v="20"/>
    <n v="10"/>
    <n v="20"/>
  </r>
  <r>
    <n v="3378"/>
    <x v="146"/>
    <x v="1"/>
    <x v="146"/>
    <x v="0"/>
    <n v="5"/>
    <x v="2"/>
    <s v="No"/>
    <x v="1"/>
    <s v="No"/>
    <n v="0"/>
    <n v="0"/>
    <n v="5"/>
  </r>
  <r>
    <n v="3379"/>
    <x v="147"/>
    <x v="0"/>
    <x v="147"/>
    <x v="1"/>
    <n v="15"/>
    <x v="0"/>
    <s v="Yes"/>
    <x v="0"/>
    <s v="Yes"/>
    <n v="20"/>
    <n v="3"/>
    <n v="62"/>
  </r>
  <r>
    <n v="3380"/>
    <x v="148"/>
    <x v="2"/>
    <x v="148"/>
    <x v="0"/>
    <n v="10"/>
    <x v="1"/>
    <s v="No"/>
    <x v="1"/>
    <s v="Yes"/>
    <n v="20"/>
    <n v="15"/>
    <n v="15"/>
  </r>
  <r>
    <n v="3381"/>
    <x v="149"/>
    <x v="1"/>
    <x v="149"/>
    <x v="1"/>
    <n v="5"/>
    <x v="0"/>
    <s v="No"/>
    <x v="1"/>
    <s v="No"/>
    <n v="0"/>
    <n v="1"/>
    <n v="4"/>
  </r>
  <r>
    <n v="3382"/>
    <x v="150"/>
    <x v="0"/>
    <x v="150"/>
    <x v="0"/>
    <n v="15"/>
    <x v="2"/>
    <s v="Yes"/>
    <x v="0"/>
    <s v="Yes"/>
    <n v="20"/>
    <n v="7"/>
    <n v="58"/>
  </r>
  <r>
    <n v="3383"/>
    <x v="151"/>
    <x v="2"/>
    <x v="151"/>
    <x v="1"/>
    <n v="10"/>
    <x v="0"/>
    <s v="No"/>
    <x v="1"/>
    <s v="Yes"/>
    <n v="20"/>
    <n v="10"/>
    <n v="20"/>
  </r>
  <r>
    <n v="3384"/>
    <x v="152"/>
    <x v="1"/>
    <x v="152"/>
    <x v="0"/>
    <n v="5"/>
    <x v="1"/>
    <s v="No"/>
    <x v="1"/>
    <s v="No"/>
    <n v="0"/>
    <n v="0"/>
    <n v="5"/>
  </r>
  <r>
    <n v="3385"/>
    <x v="153"/>
    <x v="0"/>
    <x v="153"/>
    <x v="1"/>
    <n v="15"/>
    <x v="0"/>
    <s v="Yes"/>
    <x v="0"/>
    <s v="Yes"/>
    <n v="20"/>
    <n v="20"/>
    <n v="45"/>
  </r>
  <r>
    <n v="3386"/>
    <x v="154"/>
    <x v="2"/>
    <x v="154"/>
    <x v="0"/>
    <n v="10"/>
    <x v="2"/>
    <s v="No"/>
    <x v="1"/>
    <s v="Yes"/>
    <n v="20"/>
    <n v="15"/>
    <n v="15"/>
  </r>
  <r>
    <n v="3387"/>
    <x v="155"/>
    <x v="1"/>
    <x v="155"/>
    <x v="1"/>
    <n v="5"/>
    <x v="0"/>
    <s v="No"/>
    <x v="1"/>
    <s v="No"/>
    <n v="0"/>
    <n v="1"/>
    <n v="4"/>
  </r>
  <r>
    <n v="3388"/>
    <x v="156"/>
    <x v="0"/>
    <x v="156"/>
    <x v="0"/>
    <n v="15"/>
    <x v="1"/>
    <s v="Yes"/>
    <x v="0"/>
    <s v="Yes"/>
    <n v="20"/>
    <n v="3"/>
    <n v="62"/>
  </r>
  <r>
    <n v="3389"/>
    <x v="157"/>
    <x v="2"/>
    <x v="157"/>
    <x v="1"/>
    <n v="10"/>
    <x v="0"/>
    <s v="No"/>
    <x v="1"/>
    <s v="Yes"/>
    <n v="20"/>
    <n v="10"/>
    <n v="20"/>
  </r>
  <r>
    <n v="3390"/>
    <x v="158"/>
    <x v="1"/>
    <x v="158"/>
    <x v="0"/>
    <n v="5"/>
    <x v="2"/>
    <s v="No"/>
    <x v="1"/>
    <s v="No"/>
    <n v="0"/>
    <n v="0"/>
    <n v="5"/>
  </r>
  <r>
    <n v="3391"/>
    <x v="58"/>
    <x v="0"/>
    <x v="159"/>
    <x v="1"/>
    <n v="15"/>
    <x v="0"/>
    <s v="Yes"/>
    <x v="0"/>
    <s v="Yes"/>
    <n v="20"/>
    <n v="15"/>
    <n v="50"/>
  </r>
  <r>
    <n v="3392"/>
    <x v="159"/>
    <x v="2"/>
    <x v="160"/>
    <x v="0"/>
    <n v="10"/>
    <x v="1"/>
    <s v="No"/>
    <x v="1"/>
    <s v="Yes"/>
    <n v="20"/>
    <n v="15"/>
    <n v="15"/>
  </r>
  <r>
    <n v="3393"/>
    <x v="160"/>
    <x v="1"/>
    <x v="161"/>
    <x v="1"/>
    <n v="5"/>
    <x v="0"/>
    <s v="No"/>
    <x v="1"/>
    <s v="No"/>
    <n v="0"/>
    <n v="1"/>
    <n v="4"/>
  </r>
  <r>
    <n v="3394"/>
    <x v="161"/>
    <x v="0"/>
    <x v="162"/>
    <x v="0"/>
    <n v="15"/>
    <x v="2"/>
    <s v="Yes"/>
    <x v="0"/>
    <s v="Yes"/>
    <n v="20"/>
    <n v="7"/>
    <n v="58"/>
  </r>
  <r>
    <n v="3395"/>
    <x v="162"/>
    <x v="2"/>
    <x v="163"/>
    <x v="1"/>
    <n v="10"/>
    <x v="0"/>
    <s v="No"/>
    <x v="1"/>
    <s v="Yes"/>
    <n v="20"/>
    <n v="10"/>
    <n v="20"/>
  </r>
  <r>
    <n v="3396"/>
    <x v="163"/>
    <x v="1"/>
    <x v="164"/>
    <x v="0"/>
    <n v="5"/>
    <x v="1"/>
    <s v="No"/>
    <x v="1"/>
    <s v="No"/>
    <n v="0"/>
    <n v="0"/>
    <n v="5"/>
  </r>
  <r>
    <n v="3397"/>
    <x v="90"/>
    <x v="0"/>
    <x v="165"/>
    <x v="1"/>
    <n v="15"/>
    <x v="0"/>
    <s v="Yes"/>
    <x v="0"/>
    <s v="Yes"/>
    <n v="20"/>
    <n v="20"/>
    <n v="45"/>
  </r>
  <r>
    <n v="3398"/>
    <x v="164"/>
    <x v="2"/>
    <x v="166"/>
    <x v="0"/>
    <n v="10"/>
    <x v="2"/>
    <s v="No"/>
    <x v="1"/>
    <s v="Yes"/>
    <n v="20"/>
    <n v="15"/>
    <n v="15"/>
  </r>
  <r>
    <n v="3399"/>
    <x v="165"/>
    <x v="1"/>
    <x v="167"/>
    <x v="1"/>
    <n v="5"/>
    <x v="0"/>
    <s v="No"/>
    <x v="1"/>
    <s v="No"/>
    <n v="0"/>
    <n v="1"/>
    <n v="4"/>
  </r>
  <r>
    <n v="3400"/>
    <x v="166"/>
    <x v="0"/>
    <x v="168"/>
    <x v="0"/>
    <n v="15"/>
    <x v="1"/>
    <s v="Yes"/>
    <x v="0"/>
    <s v="Yes"/>
    <n v="20"/>
    <n v="5"/>
    <n v="60"/>
  </r>
  <r>
    <n v="3401"/>
    <x v="167"/>
    <x v="2"/>
    <x v="169"/>
    <x v="1"/>
    <n v="10"/>
    <x v="0"/>
    <s v="No"/>
    <x v="1"/>
    <s v="Yes"/>
    <n v="20"/>
    <n v="10"/>
    <n v="20"/>
  </r>
  <r>
    <n v="3402"/>
    <x v="168"/>
    <x v="1"/>
    <x v="170"/>
    <x v="0"/>
    <n v="5"/>
    <x v="2"/>
    <s v="No"/>
    <x v="1"/>
    <s v="No"/>
    <n v="0"/>
    <n v="0"/>
    <n v="5"/>
  </r>
  <r>
    <n v="3403"/>
    <x v="169"/>
    <x v="0"/>
    <x v="171"/>
    <x v="1"/>
    <n v="15"/>
    <x v="0"/>
    <s v="Yes"/>
    <x v="0"/>
    <s v="Yes"/>
    <n v="20"/>
    <n v="3"/>
    <n v="62"/>
  </r>
  <r>
    <n v="3404"/>
    <x v="170"/>
    <x v="2"/>
    <x v="172"/>
    <x v="0"/>
    <n v="10"/>
    <x v="1"/>
    <s v="No"/>
    <x v="1"/>
    <s v="Yes"/>
    <n v="20"/>
    <n v="15"/>
    <n v="15"/>
  </r>
  <r>
    <n v="3405"/>
    <x v="171"/>
    <x v="1"/>
    <x v="173"/>
    <x v="1"/>
    <n v="5"/>
    <x v="0"/>
    <s v="No"/>
    <x v="1"/>
    <s v="No"/>
    <n v="0"/>
    <n v="1"/>
    <n v="4"/>
  </r>
  <r>
    <n v="3406"/>
    <x v="172"/>
    <x v="1"/>
    <x v="174"/>
    <x v="0"/>
    <n v="5"/>
    <x v="0"/>
    <s v="No"/>
    <x v="1"/>
    <s v="No"/>
    <n v="0"/>
    <n v="0"/>
    <n v="5"/>
  </r>
  <r>
    <n v="3407"/>
    <x v="173"/>
    <x v="0"/>
    <x v="175"/>
    <x v="1"/>
    <n v="15"/>
    <x v="2"/>
    <s v="Yes"/>
    <x v="0"/>
    <s v="Yes"/>
    <n v="20"/>
    <n v="7"/>
    <n v="58"/>
  </r>
  <r>
    <n v="3408"/>
    <x v="174"/>
    <x v="2"/>
    <x v="176"/>
    <x v="0"/>
    <n v="10"/>
    <x v="1"/>
    <s v="No"/>
    <x v="1"/>
    <s v="Yes"/>
    <n v="20"/>
    <n v="10"/>
    <n v="20"/>
  </r>
  <r>
    <n v="3409"/>
    <x v="175"/>
    <x v="1"/>
    <x v="177"/>
    <x v="1"/>
    <n v="5"/>
    <x v="2"/>
    <s v="No"/>
    <x v="1"/>
    <s v="No"/>
    <n v="0"/>
    <n v="1"/>
    <n v="4"/>
  </r>
  <r>
    <n v="3410"/>
    <x v="176"/>
    <x v="0"/>
    <x v="178"/>
    <x v="0"/>
    <n v="15"/>
    <x v="0"/>
    <s v="Yes"/>
    <x v="0"/>
    <s v="Yes"/>
    <n v="20"/>
    <n v="15"/>
    <n v="50"/>
  </r>
  <r>
    <n v="3411"/>
    <x v="177"/>
    <x v="2"/>
    <x v="179"/>
    <x v="1"/>
    <n v="10"/>
    <x v="0"/>
    <s v="No"/>
    <x v="1"/>
    <s v="Yes"/>
    <n v="20"/>
    <n v="5"/>
    <n v="25"/>
  </r>
  <r>
    <n v="3412"/>
    <x v="178"/>
    <x v="1"/>
    <x v="180"/>
    <x v="0"/>
    <n v="5"/>
    <x v="1"/>
    <s v="No"/>
    <x v="1"/>
    <s v="No"/>
    <n v="0"/>
    <n v="0"/>
    <n v="5"/>
  </r>
  <r>
    <n v="3413"/>
    <x v="179"/>
    <x v="0"/>
    <x v="181"/>
    <x v="1"/>
    <n v="15"/>
    <x v="2"/>
    <s v="Yes"/>
    <x v="0"/>
    <s v="Yes"/>
    <n v="20"/>
    <n v="20"/>
    <n v="45"/>
  </r>
  <r>
    <n v="3414"/>
    <x v="180"/>
    <x v="2"/>
    <x v="182"/>
    <x v="0"/>
    <n v="10"/>
    <x v="2"/>
    <s v="No"/>
    <x v="1"/>
    <s v="Yes"/>
    <n v="20"/>
    <n v="12"/>
    <n v="18"/>
  </r>
  <r>
    <n v="3415"/>
    <x v="181"/>
    <x v="1"/>
    <x v="183"/>
    <x v="1"/>
    <n v="5"/>
    <x v="0"/>
    <s v="No"/>
    <x v="1"/>
    <s v="No"/>
    <n v="0"/>
    <n v="2"/>
    <n v="3"/>
  </r>
  <r>
    <n v="3416"/>
    <x v="182"/>
    <x v="0"/>
    <x v="184"/>
    <x v="0"/>
    <n v="15"/>
    <x v="1"/>
    <s v="Yes"/>
    <x v="0"/>
    <s v="Yes"/>
    <n v="20"/>
    <n v="5"/>
    <n v="60"/>
  </r>
  <r>
    <n v="3417"/>
    <x v="183"/>
    <x v="2"/>
    <x v="185"/>
    <x v="1"/>
    <n v="10"/>
    <x v="0"/>
    <s v="No"/>
    <x v="1"/>
    <s v="Yes"/>
    <n v="20"/>
    <n v="10"/>
    <n v="20"/>
  </r>
  <r>
    <n v="3418"/>
    <x v="184"/>
    <x v="1"/>
    <x v="186"/>
    <x v="0"/>
    <n v="5"/>
    <x v="2"/>
    <s v="No"/>
    <x v="1"/>
    <s v="No"/>
    <n v="0"/>
    <n v="0"/>
    <n v="5"/>
  </r>
  <r>
    <n v="3419"/>
    <x v="185"/>
    <x v="0"/>
    <x v="187"/>
    <x v="1"/>
    <n v="15"/>
    <x v="0"/>
    <s v="Yes"/>
    <x v="0"/>
    <s v="Yes"/>
    <n v="20"/>
    <n v="3"/>
    <n v="62"/>
  </r>
  <r>
    <n v="3420"/>
    <x v="186"/>
    <x v="2"/>
    <x v="188"/>
    <x v="0"/>
    <n v="10"/>
    <x v="1"/>
    <s v="No"/>
    <x v="1"/>
    <s v="Yes"/>
    <n v="20"/>
    <n v="15"/>
    <n v="15"/>
  </r>
  <r>
    <n v="3421"/>
    <x v="15"/>
    <x v="1"/>
    <x v="189"/>
    <x v="1"/>
    <n v="5"/>
    <x v="0"/>
    <s v="No"/>
    <x v="1"/>
    <s v="No"/>
    <n v="0"/>
    <n v="1"/>
    <n v="4"/>
  </r>
  <r>
    <n v="3422"/>
    <x v="187"/>
    <x v="0"/>
    <x v="190"/>
    <x v="0"/>
    <n v="15"/>
    <x v="2"/>
    <s v="Yes"/>
    <x v="0"/>
    <s v="Yes"/>
    <n v="20"/>
    <n v="7"/>
    <n v="58"/>
  </r>
  <r>
    <n v="3423"/>
    <x v="188"/>
    <x v="2"/>
    <x v="191"/>
    <x v="1"/>
    <n v="10"/>
    <x v="0"/>
    <s v="No"/>
    <x v="1"/>
    <s v="Yes"/>
    <n v="20"/>
    <n v="10"/>
    <n v="20"/>
  </r>
  <r>
    <n v="3424"/>
    <x v="14"/>
    <x v="1"/>
    <x v="192"/>
    <x v="0"/>
    <n v="5"/>
    <x v="1"/>
    <s v="No"/>
    <x v="1"/>
    <s v="No"/>
    <n v="0"/>
    <n v="0"/>
    <n v="5"/>
  </r>
  <r>
    <n v="3425"/>
    <x v="189"/>
    <x v="0"/>
    <x v="193"/>
    <x v="1"/>
    <n v="15"/>
    <x v="0"/>
    <s v="Yes"/>
    <x v="0"/>
    <s v="Yes"/>
    <n v="20"/>
    <n v="20"/>
    <n v="45"/>
  </r>
  <r>
    <n v="3426"/>
    <x v="167"/>
    <x v="2"/>
    <x v="194"/>
    <x v="0"/>
    <n v="10"/>
    <x v="2"/>
    <s v="No"/>
    <x v="1"/>
    <s v="Yes"/>
    <n v="20"/>
    <n v="15"/>
    <n v="15"/>
  </r>
  <r>
    <n v="3427"/>
    <x v="190"/>
    <x v="1"/>
    <x v="195"/>
    <x v="1"/>
    <n v="5"/>
    <x v="0"/>
    <s v="No"/>
    <x v="1"/>
    <s v="No"/>
    <n v="0"/>
    <n v="1"/>
    <n v="4"/>
  </r>
  <r>
    <n v="3428"/>
    <x v="191"/>
    <x v="0"/>
    <x v="196"/>
    <x v="0"/>
    <n v="15"/>
    <x v="1"/>
    <s v="Yes"/>
    <x v="0"/>
    <s v="Yes"/>
    <n v="20"/>
    <n v="3"/>
    <n v="62"/>
  </r>
  <r>
    <n v="3429"/>
    <x v="192"/>
    <x v="2"/>
    <x v="197"/>
    <x v="1"/>
    <n v="10"/>
    <x v="0"/>
    <s v="No"/>
    <x v="1"/>
    <s v="Yes"/>
    <n v="20"/>
    <n v="10"/>
    <n v="20"/>
  </r>
  <r>
    <n v="3430"/>
    <x v="193"/>
    <x v="1"/>
    <x v="198"/>
    <x v="0"/>
    <n v="5"/>
    <x v="2"/>
    <s v="No"/>
    <x v="1"/>
    <s v="No"/>
    <n v="0"/>
    <n v="0"/>
    <n v="5"/>
  </r>
  <r>
    <n v="3431"/>
    <x v="194"/>
    <x v="0"/>
    <x v="199"/>
    <x v="1"/>
    <n v="15"/>
    <x v="0"/>
    <s v="Yes"/>
    <x v="0"/>
    <s v="Yes"/>
    <n v="20"/>
    <n v="15"/>
    <n v="50"/>
  </r>
  <r>
    <n v="3432"/>
    <x v="195"/>
    <x v="2"/>
    <x v="200"/>
    <x v="0"/>
    <n v="10"/>
    <x v="1"/>
    <s v="No"/>
    <x v="1"/>
    <s v="Yes"/>
    <n v="20"/>
    <n v="15"/>
    <n v="15"/>
  </r>
  <r>
    <n v="3433"/>
    <x v="196"/>
    <x v="1"/>
    <x v="201"/>
    <x v="1"/>
    <n v="5"/>
    <x v="0"/>
    <s v="No"/>
    <x v="1"/>
    <s v="No"/>
    <n v="0"/>
    <n v="1"/>
    <n v="4"/>
  </r>
  <r>
    <n v="3434"/>
    <x v="197"/>
    <x v="0"/>
    <x v="202"/>
    <x v="0"/>
    <n v="15"/>
    <x v="2"/>
    <s v="Yes"/>
    <x v="0"/>
    <s v="Yes"/>
    <n v="20"/>
    <n v="7"/>
    <n v="58"/>
  </r>
  <r>
    <n v="3435"/>
    <x v="198"/>
    <x v="2"/>
    <x v="203"/>
    <x v="1"/>
    <n v="10"/>
    <x v="0"/>
    <s v="No"/>
    <x v="1"/>
    <s v="Yes"/>
    <n v="20"/>
    <n v="10"/>
    <n v="20"/>
  </r>
  <r>
    <n v="3436"/>
    <x v="199"/>
    <x v="1"/>
    <x v="204"/>
    <x v="0"/>
    <n v="5"/>
    <x v="0"/>
    <s v="No"/>
    <x v="1"/>
    <s v="No"/>
    <n v="0"/>
    <n v="0"/>
    <n v="5"/>
  </r>
  <r>
    <n v="3437"/>
    <x v="200"/>
    <x v="0"/>
    <x v="205"/>
    <x v="1"/>
    <n v="15"/>
    <x v="2"/>
    <s v="Yes"/>
    <x v="0"/>
    <s v="Yes"/>
    <n v="20"/>
    <n v="7"/>
    <n v="58"/>
  </r>
  <r>
    <n v="3438"/>
    <x v="201"/>
    <x v="2"/>
    <x v="206"/>
    <x v="0"/>
    <n v="10"/>
    <x v="1"/>
    <s v="No"/>
    <x v="1"/>
    <s v="Yes"/>
    <n v="20"/>
    <n v="10"/>
    <n v="20"/>
  </r>
  <r>
    <n v="3439"/>
    <x v="202"/>
    <x v="1"/>
    <x v="207"/>
    <x v="1"/>
    <n v="5"/>
    <x v="2"/>
    <s v="No"/>
    <x v="1"/>
    <s v="No"/>
    <n v="0"/>
    <n v="1"/>
    <n v="4"/>
  </r>
  <r>
    <n v="3440"/>
    <x v="203"/>
    <x v="0"/>
    <x v="208"/>
    <x v="0"/>
    <n v="15"/>
    <x v="0"/>
    <s v="Yes"/>
    <x v="0"/>
    <s v="Yes"/>
    <n v="20"/>
    <n v="15"/>
    <n v="50"/>
  </r>
  <r>
    <n v="3441"/>
    <x v="204"/>
    <x v="2"/>
    <x v="209"/>
    <x v="1"/>
    <n v="10"/>
    <x v="0"/>
    <s v="No"/>
    <x v="1"/>
    <s v="Yes"/>
    <n v="20"/>
    <n v="5"/>
    <n v="25"/>
  </r>
  <r>
    <n v="3442"/>
    <x v="205"/>
    <x v="1"/>
    <x v="210"/>
    <x v="0"/>
    <n v="5"/>
    <x v="1"/>
    <s v="No"/>
    <x v="1"/>
    <s v="No"/>
    <n v="0"/>
    <n v="0"/>
    <n v="5"/>
  </r>
  <r>
    <n v="3443"/>
    <x v="206"/>
    <x v="0"/>
    <x v="211"/>
    <x v="1"/>
    <n v="15"/>
    <x v="2"/>
    <s v="Yes"/>
    <x v="0"/>
    <s v="Yes"/>
    <n v="20"/>
    <n v="20"/>
    <n v="45"/>
  </r>
  <r>
    <n v="3444"/>
    <x v="207"/>
    <x v="2"/>
    <x v="212"/>
    <x v="0"/>
    <n v="10"/>
    <x v="2"/>
    <s v="No"/>
    <x v="1"/>
    <s v="Yes"/>
    <n v="20"/>
    <n v="12"/>
    <n v="18"/>
  </r>
  <r>
    <n v="3445"/>
    <x v="37"/>
    <x v="1"/>
    <x v="213"/>
    <x v="1"/>
    <n v="5"/>
    <x v="0"/>
    <s v="No"/>
    <x v="1"/>
    <s v="No"/>
    <n v="0"/>
    <n v="2"/>
    <n v="3"/>
  </r>
  <r>
    <n v="3446"/>
    <x v="208"/>
    <x v="0"/>
    <x v="214"/>
    <x v="0"/>
    <n v="15"/>
    <x v="1"/>
    <s v="Yes"/>
    <x v="0"/>
    <s v="Yes"/>
    <n v="20"/>
    <n v="5"/>
    <n v="60"/>
  </r>
  <r>
    <n v="3447"/>
    <x v="209"/>
    <x v="2"/>
    <x v="215"/>
    <x v="1"/>
    <n v="10"/>
    <x v="0"/>
    <s v="No"/>
    <x v="1"/>
    <s v="Yes"/>
    <n v="20"/>
    <n v="10"/>
    <n v="20"/>
  </r>
  <r>
    <n v="3448"/>
    <x v="210"/>
    <x v="1"/>
    <x v="216"/>
    <x v="0"/>
    <n v="5"/>
    <x v="2"/>
    <s v="No"/>
    <x v="1"/>
    <s v="No"/>
    <n v="0"/>
    <n v="0"/>
    <n v="5"/>
  </r>
  <r>
    <n v="3449"/>
    <x v="211"/>
    <x v="0"/>
    <x v="217"/>
    <x v="1"/>
    <n v="15"/>
    <x v="0"/>
    <s v="Yes"/>
    <x v="0"/>
    <s v="Yes"/>
    <n v="20"/>
    <n v="3"/>
    <n v="62"/>
  </r>
  <r>
    <n v="3450"/>
    <x v="212"/>
    <x v="2"/>
    <x v="218"/>
    <x v="0"/>
    <n v="10"/>
    <x v="1"/>
    <s v="No"/>
    <x v="1"/>
    <s v="Yes"/>
    <n v="20"/>
    <n v="15"/>
    <n v="15"/>
  </r>
  <r>
    <n v="3451"/>
    <x v="213"/>
    <x v="1"/>
    <x v="219"/>
    <x v="1"/>
    <n v="5"/>
    <x v="0"/>
    <s v="No"/>
    <x v="1"/>
    <s v="No"/>
    <n v="0"/>
    <n v="1"/>
    <n v="4"/>
  </r>
  <r>
    <n v="3452"/>
    <x v="191"/>
    <x v="0"/>
    <x v="220"/>
    <x v="0"/>
    <n v="15"/>
    <x v="2"/>
    <s v="Yes"/>
    <x v="0"/>
    <s v="Yes"/>
    <n v="20"/>
    <n v="7"/>
    <n v="58"/>
  </r>
  <r>
    <n v="3453"/>
    <x v="45"/>
    <x v="2"/>
    <x v="221"/>
    <x v="1"/>
    <n v="10"/>
    <x v="0"/>
    <s v="No"/>
    <x v="1"/>
    <s v="Yes"/>
    <n v="20"/>
    <n v="10"/>
    <n v="20"/>
  </r>
  <r>
    <n v="3454"/>
    <x v="214"/>
    <x v="1"/>
    <x v="222"/>
    <x v="0"/>
    <n v="5"/>
    <x v="1"/>
    <s v="No"/>
    <x v="1"/>
    <s v="No"/>
    <n v="0"/>
    <n v="0"/>
    <n v="5"/>
  </r>
  <r>
    <n v="3455"/>
    <x v="215"/>
    <x v="0"/>
    <x v="223"/>
    <x v="1"/>
    <n v="15"/>
    <x v="0"/>
    <s v="Yes"/>
    <x v="0"/>
    <s v="Yes"/>
    <n v="20"/>
    <n v="20"/>
    <n v="45"/>
  </r>
  <r>
    <n v="3456"/>
    <x v="216"/>
    <x v="2"/>
    <x v="224"/>
    <x v="0"/>
    <n v="10"/>
    <x v="2"/>
    <s v="No"/>
    <x v="1"/>
    <s v="Yes"/>
    <n v="20"/>
    <n v="15"/>
    <n v="15"/>
  </r>
  <r>
    <n v="3457"/>
    <x v="217"/>
    <x v="1"/>
    <x v="225"/>
    <x v="1"/>
    <n v="5"/>
    <x v="0"/>
    <s v="No"/>
    <x v="1"/>
    <s v="No"/>
    <n v="0"/>
    <n v="1"/>
    <n v="4"/>
  </r>
  <r>
    <n v="3458"/>
    <x v="218"/>
    <x v="0"/>
    <x v="226"/>
    <x v="0"/>
    <n v="15"/>
    <x v="1"/>
    <s v="Yes"/>
    <x v="0"/>
    <s v="Yes"/>
    <n v="20"/>
    <n v="3"/>
    <n v="62"/>
  </r>
  <r>
    <n v="3459"/>
    <x v="219"/>
    <x v="2"/>
    <x v="227"/>
    <x v="1"/>
    <n v="10"/>
    <x v="0"/>
    <s v="No"/>
    <x v="1"/>
    <s v="Yes"/>
    <n v="20"/>
    <n v="10"/>
    <n v="20"/>
  </r>
  <r>
    <n v="3460"/>
    <x v="127"/>
    <x v="1"/>
    <x v="228"/>
    <x v="0"/>
    <n v="5"/>
    <x v="2"/>
    <s v="No"/>
    <x v="1"/>
    <s v="No"/>
    <n v="0"/>
    <n v="0"/>
    <n v="5"/>
  </r>
  <r>
    <n v="3461"/>
    <x v="220"/>
    <x v="0"/>
    <x v="229"/>
    <x v="1"/>
    <n v="15"/>
    <x v="0"/>
    <s v="Yes"/>
    <x v="0"/>
    <s v="Yes"/>
    <n v="20"/>
    <n v="15"/>
    <n v="50"/>
  </r>
  <r>
    <n v="3462"/>
    <x v="221"/>
    <x v="2"/>
    <x v="230"/>
    <x v="0"/>
    <n v="10"/>
    <x v="1"/>
    <s v="No"/>
    <x v="1"/>
    <s v="Yes"/>
    <n v="20"/>
    <n v="15"/>
    <n v="15"/>
  </r>
  <r>
    <n v="3463"/>
    <x v="222"/>
    <x v="1"/>
    <x v="231"/>
    <x v="1"/>
    <n v="5"/>
    <x v="0"/>
    <s v="No"/>
    <x v="1"/>
    <s v="No"/>
    <n v="0"/>
    <n v="1"/>
    <n v="4"/>
  </r>
  <r>
    <n v="3464"/>
    <x v="223"/>
    <x v="0"/>
    <x v="232"/>
    <x v="0"/>
    <n v="15"/>
    <x v="2"/>
    <s v="Yes"/>
    <x v="0"/>
    <s v="Yes"/>
    <n v="20"/>
    <n v="7"/>
    <n v="58"/>
  </r>
  <r>
    <n v="3465"/>
    <x v="224"/>
    <x v="2"/>
    <x v="233"/>
    <x v="1"/>
    <n v="10"/>
    <x v="0"/>
    <s v="No"/>
    <x v="1"/>
    <s v="Yes"/>
    <n v="20"/>
    <n v="10"/>
    <n v="20"/>
  </r>
  <r>
    <n v="3466"/>
    <x v="225"/>
    <x v="1"/>
    <x v="234"/>
    <x v="0"/>
    <n v="5"/>
    <x v="1"/>
    <s v="No"/>
    <x v="1"/>
    <s v="No"/>
    <n v="0"/>
    <n v="0"/>
    <n v="5"/>
  </r>
  <r>
    <n v="3467"/>
    <x v="226"/>
    <x v="0"/>
    <x v="235"/>
    <x v="1"/>
    <n v="15"/>
    <x v="0"/>
    <s v="Yes"/>
    <x v="0"/>
    <s v="Yes"/>
    <n v="20"/>
    <n v="15"/>
    <n v="50"/>
  </r>
  <r>
    <n v="3468"/>
    <x v="227"/>
    <x v="2"/>
    <x v="236"/>
    <x v="0"/>
    <n v="10"/>
    <x v="2"/>
    <s v="No"/>
    <x v="1"/>
    <s v="Yes"/>
    <n v="20"/>
    <n v="12"/>
    <n v="18"/>
  </r>
  <r>
    <n v="3469"/>
    <x v="228"/>
    <x v="1"/>
    <x v="237"/>
    <x v="1"/>
    <n v="5"/>
    <x v="0"/>
    <s v="No"/>
    <x v="1"/>
    <s v="No"/>
    <n v="0"/>
    <n v="2"/>
    <n v="3"/>
  </r>
  <r>
    <n v="3470"/>
    <x v="229"/>
    <x v="0"/>
    <x v="238"/>
    <x v="0"/>
    <n v="15"/>
    <x v="1"/>
    <s v="Yes"/>
    <x v="0"/>
    <s v="Yes"/>
    <n v="20"/>
    <n v="5"/>
    <n v="60"/>
  </r>
  <r>
    <n v="3471"/>
    <x v="230"/>
    <x v="2"/>
    <x v="239"/>
    <x v="1"/>
    <n v="10"/>
    <x v="0"/>
    <s v="No"/>
    <x v="1"/>
    <s v="Yes"/>
    <n v="20"/>
    <n v="10"/>
    <n v="20"/>
  </r>
  <r>
    <n v="3472"/>
    <x v="231"/>
    <x v="1"/>
    <x v="240"/>
    <x v="0"/>
    <n v="5"/>
    <x v="2"/>
    <s v="No"/>
    <x v="1"/>
    <s v="No"/>
    <n v="0"/>
    <n v="0"/>
    <n v="5"/>
  </r>
  <r>
    <n v="3473"/>
    <x v="140"/>
    <x v="0"/>
    <x v="241"/>
    <x v="1"/>
    <n v="15"/>
    <x v="0"/>
    <s v="Yes"/>
    <x v="0"/>
    <s v="Yes"/>
    <n v="20"/>
    <n v="3"/>
    <n v="62"/>
  </r>
  <r>
    <n v="3474"/>
    <x v="232"/>
    <x v="2"/>
    <x v="242"/>
    <x v="0"/>
    <n v="10"/>
    <x v="1"/>
    <s v="No"/>
    <x v="1"/>
    <s v="Yes"/>
    <n v="20"/>
    <n v="15"/>
    <n v="15"/>
  </r>
  <r>
    <n v="3475"/>
    <x v="233"/>
    <x v="1"/>
    <x v="243"/>
    <x v="1"/>
    <n v="5"/>
    <x v="0"/>
    <s v="No"/>
    <x v="1"/>
    <s v="No"/>
    <n v="0"/>
    <n v="1"/>
    <n v="4"/>
  </r>
  <r>
    <n v="3476"/>
    <x v="234"/>
    <x v="0"/>
    <x v="244"/>
    <x v="0"/>
    <n v="15"/>
    <x v="2"/>
    <s v="Yes"/>
    <x v="0"/>
    <s v="Yes"/>
    <n v="20"/>
    <n v="7"/>
    <n v="58"/>
  </r>
  <r>
    <n v="3477"/>
    <x v="235"/>
    <x v="2"/>
    <x v="245"/>
    <x v="1"/>
    <n v="10"/>
    <x v="0"/>
    <s v="No"/>
    <x v="1"/>
    <s v="Yes"/>
    <n v="20"/>
    <n v="10"/>
    <n v="20"/>
  </r>
  <r>
    <n v="3478"/>
    <x v="236"/>
    <x v="1"/>
    <x v="246"/>
    <x v="0"/>
    <n v="5"/>
    <x v="1"/>
    <s v="No"/>
    <x v="1"/>
    <s v="No"/>
    <n v="0"/>
    <n v="0"/>
    <n v="5"/>
  </r>
  <r>
    <n v="3479"/>
    <x v="237"/>
    <x v="0"/>
    <x v="247"/>
    <x v="1"/>
    <n v="15"/>
    <x v="0"/>
    <s v="Yes"/>
    <x v="0"/>
    <s v="Yes"/>
    <n v="20"/>
    <n v="20"/>
    <n v="45"/>
  </r>
  <r>
    <n v="3480"/>
    <x v="238"/>
    <x v="2"/>
    <x v="248"/>
    <x v="0"/>
    <n v="10"/>
    <x v="2"/>
    <s v="No"/>
    <x v="1"/>
    <s v="Yes"/>
    <n v="20"/>
    <n v="15"/>
    <n v="15"/>
  </r>
  <r>
    <n v="3481"/>
    <x v="239"/>
    <x v="1"/>
    <x v="249"/>
    <x v="1"/>
    <n v="5"/>
    <x v="0"/>
    <s v="No"/>
    <x v="1"/>
    <s v="No"/>
    <n v="0"/>
    <n v="1"/>
    <n v="4"/>
  </r>
  <r>
    <n v="3482"/>
    <x v="240"/>
    <x v="0"/>
    <x v="250"/>
    <x v="0"/>
    <n v="15"/>
    <x v="1"/>
    <s v="Yes"/>
    <x v="0"/>
    <s v="Yes"/>
    <n v="20"/>
    <n v="3"/>
    <n v="62"/>
  </r>
  <r>
    <n v="3483"/>
    <x v="241"/>
    <x v="2"/>
    <x v="251"/>
    <x v="1"/>
    <n v="10"/>
    <x v="0"/>
    <s v="No"/>
    <x v="1"/>
    <s v="Yes"/>
    <n v="20"/>
    <n v="10"/>
    <n v="20"/>
  </r>
  <r>
    <n v="3484"/>
    <x v="242"/>
    <x v="1"/>
    <x v="252"/>
    <x v="0"/>
    <n v="5"/>
    <x v="2"/>
    <s v="No"/>
    <x v="1"/>
    <s v="No"/>
    <n v="0"/>
    <n v="0"/>
    <n v="5"/>
  </r>
  <r>
    <n v="3485"/>
    <x v="243"/>
    <x v="0"/>
    <x v="253"/>
    <x v="1"/>
    <n v="15"/>
    <x v="0"/>
    <s v="Yes"/>
    <x v="0"/>
    <s v="Yes"/>
    <n v="20"/>
    <n v="15"/>
    <n v="50"/>
  </r>
  <r>
    <n v="3486"/>
    <x v="244"/>
    <x v="1"/>
    <x v="254"/>
    <x v="0"/>
    <n v="5"/>
    <x v="0"/>
    <s v="No"/>
    <x v="1"/>
    <s v="No"/>
    <n v="0"/>
    <n v="0"/>
    <n v="5"/>
  </r>
  <r>
    <n v="3487"/>
    <x v="245"/>
    <x v="0"/>
    <x v="255"/>
    <x v="1"/>
    <n v="15"/>
    <x v="2"/>
    <s v="Yes"/>
    <x v="0"/>
    <s v="Yes"/>
    <n v="20"/>
    <n v="7"/>
    <n v="58"/>
  </r>
  <r>
    <n v="3488"/>
    <x v="246"/>
    <x v="2"/>
    <x v="256"/>
    <x v="0"/>
    <n v="10"/>
    <x v="1"/>
    <s v="No"/>
    <x v="1"/>
    <s v="Yes"/>
    <n v="20"/>
    <n v="10"/>
    <n v="20"/>
  </r>
  <r>
    <n v="3489"/>
    <x v="247"/>
    <x v="1"/>
    <x v="257"/>
    <x v="1"/>
    <n v="5"/>
    <x v="2"/>
    <s v="No"/>
    <x v="1"/>
    <s v="No"/>
    <n v="0"/>
    <n v="1"/>
    <n v="4"/>
  </r>
  <r>
    <n v="3490"/>
    <x v="248"/>
    <x v="0"/>
    <x v="258"/>
    <x v="0"/>
    <n v="15"/>
    <x v="0"/>
    <s v="Yes"/>
    <x v="0"/>
    <s v="Yes"/>
    <n v="20"/>
    <n v="15"/>
    <n v="50"/>
  </r>
  <r>
    <n v="3491"/>
    <x v="249"/>
    <x v="2"/>
    <x v="259"/>
    <x v="1"/>
    <n v="10"/>
    <x v="0"/>
    <s v="No"/>
    <x v="1"/>
    <s v="Yes"/>
    <n v="20"/>
    <n v="5"/>
    <n v="25"/>
  </r>
  <r>
    <n v="3492"/>
    <x v="250"/>
    <x v="1"/>
    <x v="260"/>
    <x v="0"/>
    <n v="5"/>
    <x v="1"/>
    <s v="No"/>
    <x v="1"/>
    <s v="No"/>
    <n v="0"/>
    <n v="0"/>
    <n v="5"/>
  </r>
  <r>
    <n v="3493"/>
    <x v="251"/>
    <x v="0"/>
    <x v="261"/>
    <x v="1"/>
    <n v="15"/>
    <x v="2"/>
    <s v="Yes"/>
    <x v="0"/>
    <s v="Yes"/>
    <n v="20"/>
    <n v="20"/>
    <n v="45"/>
  </r>
  <r>
    <n v="3494"/>
    <x v="252"/>
    <x v="2"/>
    <x v="262"/>
    <x v="0"/>
    <n v="10"/>
    <x v="2"/>
    <s v="No"/>
    <x v="1"/>
    <s v="Yes"/>
    <n v="20"/>
    <n v="12"/>
    <n v="18"/>
  </r>
  <r>
    <n v="3495"/>
    <x v="253"/>
    <x v="1"/>
    <x v="263"/>
    <x v="1"/>
    <n v="5"/>
    <x v="0"/>
    <s v="No"/>
    <x v="1"/>
    <s v="No"/>
    <n v="0"/>
    <n v="2"/>
    <n v="3"/>
  </r>
  <r>
    <n v="3496"/>
    <x v="254"/>
    <x v="0"/>
    <x v="264"/>
    <x v="0"/>
    <n v="15"/>
    <x v="1"/>
    <s v="Yes"/>
    <x v="0"/>
    <s v="Yes"/>
    <n v="20"/>
    <n v="5"/>
    <n v="60"/>
  </r>
  <r>
    <n v="3497"/>
    <x v="255"/>
    <x v="2"/>
    <x v="265"/>
    <x v="1"/>
    <n v="10"/>
    <x v="0"/>
    <s v="No"/>
    <x v="1"/>
    <s v="Yes"/>
    <n v="20"/>
    <n v="10"/>
    <n v="20"/>
  </r>
  <r>
    <n v="3498"/>
    <x v="256"/>
    <x v="1"/>
    <x v="266"/>
    <x v="0"/>
    <n v="5"/>
    <x v="2"/>
    <s v="No"/>
    <x v="1"/>
    <s v="No"/>
    <n v="0"/>
    <n v="0"/>
    <n v="5"/>
  </r>
  <r>
    <n v="3499"/>
    <x v="257"/>
    <x v="0"/>
    <x v="267"/>
    <x v="1"/>
    <n v="15"/>
    <x v="0"/>
    <s v="Yes"/>
    <x v="0"/>
    <s v="Yes"/>
    <n v="20"/>
    <n v="3"/>
    <n v="62"/>
  </r>
  <r>
    <n v="3500"/>
    <x v="258"/>
    <x v="2"/>
    <x v="268"/>
    <x v="0"/>
    <n v="10"/>
    <x v="1"/>
    <s v="No"/>
    <x v="1"/>
    <s v="Yes"/>
    <n v="20"/>
    <n v="15"/>
    <n v="15"/>
  </r>
  <r>
    <n v="3501"/>
    <x v="259"/>
    <x v="1"/>
    <x v="269"/>
    <x v="1"/>
    <n v="5"/>
    <x v="0"/>
    <s v="No"/>
    <x v="1"/>
    <s v="No"/>
    <n v="0"/>
    <n v="1"/>
    <n v="4"/>
  </r>
  <r>
    <n v="3502"/>
    <x v="260"/>
    <x v="0"/>
    <x v="270"/>
    <x v="0"/>
    <n v="15"/>
    <x v="2"/>
    <s v="Yes"/>
    <x v="0"/>
    <s v="Yes"/>
    <n v="20"/>
    <n v="7"/>
    <n v="58"/>
  </r>
  <r>
    <n v="3503"/>
    <x v="119"/>
    <x v="2"/>
    <x v="271"/>
    <x v="1"/>
    <n v="10"/>
    <x v="0"/>
    <s v="No"/>
    <x v="1"/>
    <s v="Yes"/>
    <n v="20"/>
    <n v="10"/>
    <n v="20"/>
  </r>
  <r>
    <n v="3504"/>
    <x v="261"/>
    <x v="1"/>
    <x v="272"/>
    <x v="0"/>
    <n v="5"/>
    <x v="1"/>
    <s v="No"/>
    <x v="1"/>
    <s v="No"/>
    <n v="0"/>
    <n v="0"/>
    <n v="5"/>
  </r>
  <r>
    <n v="3505"/>
    <x v="262"/>
    <x v="0"/>
    <x v="273"/>
    <x v="1"/>
    <n v="15"/>
    <x v="0"/>
    <s v="Yes"/>
    <x v="0"/>
    <s v="Yes"/>
    <n v="20"/>
    <n v="20"/>
    <n v="45"/>
  </r>
  <r>
    <n v="3506"/>
    <x v="263"/>
    <x v="2"/>
    <x v="274"/>
    <x v="0"/>
    <n v="10"/>
    <x v="2"/>
    <s v="No"/>
    <x v="1"/>
    <s v="Yes"/>
    <n v="20"/>
    <n v="15"/>
    <n v="15"/>
  </r>
  <r>
    <n v="3507"/>
    <x v="264"/>
    <x v="1"/>
    <x v="275"/>
    <x v="1"/>
    <n v="5"/>
    <x v="0"/>
    <s v="No"/>
    <x v="1"/>
    <s v="No"/>
    <n v="0"/>
    <n v="1"/>
    <n v="4"/>
  </r>
  <r>
    <n v="3508"/>
    <x v="265"/>
    <x v="0"/>
    <x v="276"/>
    <x v="0"/>
    <n v="15"/>
    <x v="1"/>
    <s v="Yes"/>
    <x v="0"/>
    <s v="Yes"/>
    <n v="20"/>
    <n v="3"/>
    <n v="62"/>
  </r>
  <r>
    <n v="3509"/>
    <x v="266"/>
    <x v="2"/>
    <x v="277"/>
    <x v="1"/>
    <n v="10"/>
    <x v="0"/>
    <s v="No"/>
    <x v="1"/>
    <s v="Yes"/>
    <n v="20"/>
    <n v="10"/>
    <n v="20"/>
  </r>
  <r>
    <n v="3510"/>
    <x v="267"/>
    <x v="1"/>
    <x v="278"/>
    <x v="0"/>
    <n v="5"/>
    <x v="2"/>
    <s v="No"/>
    <x v="1"/>
    <s v="No"/>
    <n v="0"/>
    <n v="0"/>
    <n v="5"/>
  </r>
  <r>
    <n v="3511"/>
    <x v="268"/>
    <x v="0"/>
    <x v="279"/>
    <x v="1"/>
    <n v="15"/>
    <x v="0"/>
    <s v="Yes"/>
    <x v="0"/>
    <s v="Yes"/>
    <n v="20"/>
    <n v="15"/>
    <n v="50"/>
  </r>
  <r>
    <n v="3512"/>
    <x v="269"/>
    <x v="2"/>
    <x v="280"/>
    <x v="0"/>
    <n v="10"/>
    <x v="1"/>
    <s v="No"/>
    <x v="1"/>
    <s v="Yes"/>
    <n v="20"/>
    <n v="15"/>
    <n v="15"/>
  </r>
  <r>
    <n v="3513"/>
    <x v="270"/>
    <x v="1"/>
    <x v="281"/>
    <x v="1"/>
    <n v="5"/>
    <x v="0"/>
    <s v="No"/>
    <x v="1"/>
    <s v="No"/>
    <n v="0"/>
    <n v="1"/>
    <n v="4"/>
  </r>
  <r>
    <n v="3514"/>
    <x v="271"/>
    <x v="0"/>
    <x v="282"/>
    <x v="0"/>
    <n v="15"/>
    <x v="2"/>
    <s v="Yes"/>
    <x v="0"/>
    <s v="Yes"/>
    <n v="20"/>
    <n v="7"/>
    <n v="58"/>
  </r>
  <r>
    <n v="3515"/>
    <x v="130"/>
    <x v="2"/>
    <x v="283"/>
    <x v="1"/>
    <n v="10"/>
    <x v="0"/>
    <s v="No"/>
    <x v="1"/>
    <s v="Yes"/>
    <n v="20"/>
    <n v="10"/>
    <n v="20"/>
  </r>
  <r>
    <n v="3516"/>
    <x v="131"/>
    <x v="1"/>
    <x v="284"/>
    <x v="0"/>
    <n v="5"/>
    <x v="1"/>
    <s v="No"/>
    <x v="1"/>
    <s v="No"/>
    <n v="0"/>
    <n v="0"/>
    <n v="5"/>
  </r>
  <r>
    <n v="3517"/>
    <x v="181"/>
    <x v="0"/>
    <x v="285"/>
    <x v="1"/>
    <n v="15"/>
    <x v="0"/>
    <s v="Yes"/>
    <x v="0"/>
    <s v="Yes"/>
    <n v="20"/>
    <n v="20"/>
    <n v="45"/>
  </r>
  <r>
    <n v="3518"/>
    <x v="272"/>
    <x v="2"/>
    <x v="286"/>
    <x v="0"/>
    <n v="10"/>
    <x v="2"/>
    <s v="No"/>
    <x v="1"/>
    <s v="Yes"/>
    <n v="20"/>
    <n v="12"/>
    <n v="18"/>
  </r>
  <r>
    <n v="3519"/>
    <x v="273"/>
    <x v="1"/>
    <x v="287"/>
    <x v="1"/>
    <n v="5"/>
    <x v="0"/>
    <s v="No"/>
    <x v="1"/>
    <s v="No"/>
    <n v="0"/>
    <n v="2"/>
    <n v="3"/>
  </r>
  <r>
    <n v="3520"/>
    <x v="274"/>
    <x v="0"/>
    <x v="288"/>
    <x v="0"/>
    <n v="15"/>
    <x v="1"/>
    <s v="Yes"/>
    <x v="0"/>
    <s v="Yes"/>
    <n v="20"/>
    <n v="5"/>
    <n v="60"/>
  </r>
  <r>
    <n v="3521"/>
    <x v="275"/>
    <x v="2"/>
    <x v="289"/>
    <x v="1"/>
    <n v="10"/>
    <x v="0"/>
    <s v="No"/>
    <x v="1"/>
    <s v="Yes"/>
    <n v="20"/>
    <n v="10"/>
    <n v="20"/>
  </r>
  <r>
    <n v="3522"/>
    <x v="276"/>
    <x v="1"/>
    <x v="290"/>
    <x v="0"/>
    <n v="5"/>
    <x v="2"/>
    <s v="No"/>
    <x v="1"/>
    <s v="No"/>
    <n v="0"/>
    <n v="0"/>
    <n v="5"/>
  </r>
  <r>
    <n v="3523"/>
    <x v="277"/>
    <x v="0"/>
    <x v="291"/>
    <x v="1"/>
    <n v="15"/>
    <x v="0"/>
    <s v="Yes"/>
    <x v="0"/>
    <s v="Yes"/>
    <n v="20"/>
    <n v="3"/>
    <n v="62"/>
  </r>
  <r>
    <n v="3524"/>
    <x v="278"/>
    <x v="2"/>
    <x v="292"/>
    <x v="0"/>
    <n v="10"/>
    <x v="1"/>
    <s v="No"/>
    <x v="1"/>
    <s v="Yes"/>
    <n v="20"/>
    <n v="15"/>
    <n v="15"/>
  </r>
  <r>
    <n v="3525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B32FA-ED9F-4D4C-B0AC-F1639523B4A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1">
  <location ref="B43:C55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13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5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2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BDD1BD4-4303-446F-A0D3-26B2839EF6FA}" sourceName="Subscription Type">
  <pivotTables>
    <pivotTable tabId="3" name="tbl_annual_total"/>
    <pivotTable tabId="3" name="Tabela dinâmica1"/>
    <pivotTable tabId="3" name="Tabela dinâmica9"/>
    <pivotTable tabId="3" name="tbl_easeasonpass_total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1F41CA6-31D7-4137-8060-6F09FE507738}" cache="SegmentaçãodeDados_Subscription_Type" caption="Subscription Type" columnCount="3" showCaption="0" style="Estilo de Segmentação de Dados 1" rowHeight="32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19" sqref="L1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5"/>
  <sheetViews>
    <sheetView showGridLines="0" topLeftCell="A2" zoomScale="70" zoomScaleNormal="70" workbookViewId="0">
      <selection activeCell="C22" sqref="C22"/>
    </sheetView>
  </sheetViews>
  <sheetFormatPr defaultRowHeight="14.4" x14ac:dyDescent="0.3"/>
  <cols>
    <col min="2" max="2" width="16.77734375" bestFit="1" customWidth="1"/>
    <col min="3" max="3" width="25.5546875" bestFit="1" customWidth="1"/>
    <col min="4" max="4" width="8.33203125" bestFit="1" customWidth="1"/>
    <col min="5" max="5" width="14.5546875" customWidth="1"/>
    <col min="6" max="8" width="9.33203125" bestFit="1" customWidth="1"/>
    <col min="9" max="9" width="8.33203125" bestFit="1" customWidth="1"/>
    <col min="10" max="11" width="9.33203125" bestFit="1" customWidth="1"/>
    <col min="12" max="12" width="8.33203125" bestFit="1" customWidth="1"/>
    <col min="13" max="14" width="9.33203125" bestFit="1" customWidth="1"/>
    <col min="15" max="15" width="8.33203125" bestFit="1" customWidth="1"/>
    <col min="16" max="17" width="9.33203125" bestFit="1" customWidth="1"/>
    <col min="18" max="18" width="8.33203125" bestFit="1" customWidth="1"/>
    <col min="19" max="20" width="9.33203125" bestFit="1" customWidth="1"/>
    <col min="21" max="21" width="8.33203125" bestFit="1" customWidth="1"/>
    <col min="22" max="23" width="9.33203125" bestFit="1" customWidth="1"/>
    <col min="24" max="24" width="8.33203125" bestFit="1" customWidth="1"/>
    <col min="25" max="26" width="9.33203125" bestFit="1" customWidth="1"/>
    <col min="27" max="27" width="8.33203125" bestFit="1" customWidth="1"/>
    <col min="28" max="29" width="9.33203125" bestFit="1" customWidth="1"/>
    <col min="30" max="30" width="8.33203125" bestFit="1" customWidth="1"/>
    <col min="31" max="32" width="9.33203125" bestFit="1" customWidth="1"/>
    <col min="33" max="33" width="8.33203125" bestFit="1" customWidth="1"/>
    <col min="34" max="35" width="9.33203125" bestFit="1" customWidth="1"/>
    <col min="36" max="37" width="8.33203125" bestFit="1" customWidth="1"/>
    <col min="38" max="39" width="9.33203125" bestFit="1" customWidth="1"/>
    <col min="40" max="40" width="8.33203125" bestFit="1" customWidth="1"/>
    <col min="41" max="42" width="9.33203125" bestFit="1" customWidth="1"/>
    <col min="43" max="43" width="8.33203125" bestFit="1" customWidth="1"/>
    <col min="44" max="45" width="9.33203125" bestFit="1" customWidth="1"/>
    <col min="46" max="46" width="8.33203125" bestFit="1" customWidth="1"/>
    <col min="47" max="48" width="9.33203125" bestFit="1" customWidth="1"/>
    <col min="49" max="49" width="8.33203125" bestFit="1" customWidth="1"/>
    <col min="50" max="51" width="9.33203125" bestFit="1" customWidth="1"/>
    <col min="52" max="52" width="8.33203125" bestFit="1" customWidth="1"/>
    <col min="53" max="54" width="9.33203125" bestFit="1" customWidth="1"/>
    <col min="55" max="55" width="8.33203125" bestFit="1" customWidth="1"/>
    <col min="56" max="57" width="9.33203125" bestFit="1" customWidth="1"/>
    <col min="58" max="58" width="8.33203125" bestFit="1" customWidth="1"/>
    <col min="59" max="60" width="9.33203125" bestFit="1" customWidth="1"/>
    <col min="61" max="61" width="8.33203125" bestFit="1" customWidth="1"/>
    <col min="62" max="63" width="9.33203125" bestFit="1" customWidth="1"/>
    <col min="64" max="64" width="8.33203125" bestFit="1" customWidth="1"/>
    <col min="65" max="66" width="9.33203125" bestFit="1" customWidth="1"/>
    <col min="67" max="67" width="8.33203125" bestFit="1" customWidth="1"/>
    <col min="68" max="69" width="9.33203125" bestFit="1" customWidth="1"/>
    <col min="70" max="70" width="8.33203125" bestFit="1" customWidth="1"/>
    <col min="71" max="72" width="9.33203125" bestFit="1" customWidth="1"/>
    <col min="73" max="73" width="8.33203125" bestFit="1" customWidth="1"/>
    <col min="74" max="75" width="9.33203125" bestFit="1" customWidth="1"/>
    <col min="76" max="76" width="8.33203125" bestFit="1" customWidth="1"/>
    <col min="77" max="78" width="9.33203125" bestFit="1" customWidth="1"/>
    <col min="79" max="79" width="8.33203125" bestFit="1" customWidth="1"/>
    <col min="80" max="81" width="9.33203125" bestFit="1" customWidth="1"/>
    <col min="82" max="82" width="8.33203125" bestFit="1" customWidth="1"/>
    <col min="83" max="84" width="9.33203125" bestFit="1" customWidth="1"/>
    <col min="85" max="85" width="8.33203125" bestFit="1" customWidth="1"/>
    <col min="86" max="87" width="9.33203125" bestFit="1" customWidth="1"/>
    <col min="88" max="88" width="8.33203125" bestFit="1" customWidth="1"/>
    <col min="89" max="90" width="9.33203125" bestFit="1" customWidth="1"/>
    <col min="91" max="91" width="8.33203125" bestFit="1" customWidth="1"/>
    <col min="92" max="93" width="9.33203125" bestFit="1" customWidth="1"/>
    <col min="94" max="94" width="8.33203125" bestFit="1" customWidth="1"/>
    <col min="95" max="96" width="9.33203125" bestFit="1" customWidth="1"/>
    <col min="97" max="97" width="8.33203125" bestFit="1" customWidth="1"/>
    <col min="98" max="99" width="9.33203125" bestFit="1" customWidth="1"/>
    <col min="100" max="100" width="8.33203125" bestFit="1" customWidth="1"/>
    <col min="101" max="102" width="9.33203125" bestFit="1" customWidth="1"/>
    <col min="103" max="103" width="8.33203125" bestFit="1" customWidth="1"/>
    <col min="104" max="105" width="9.33203125" bestFit="1" customWidth="1"/>
    <col min="106" max="107" width="8.33203125" bestFit="1" customWidth="1"/>
    <col min="108" max="109" width="9.33203125" bestFit="1" customWidth="1"/>
    <col min="110" max="110" width="8.33203125" bestFit="1" customWidth="1"/>
    <col min="111" max="112" width="9.33203125" bestFit="1" customWidth="1"/>
    <col min="113" max="113" width="8.33203125" bestFit="1" customWidth="1"/>
    <col min="114" max="115" width="9.33203125" bestFit="1" customWidth="1"/>
    <col min="116" max="116" width="8.33203125" bestFit="1" customWidth="1"/>
    <col min="117" max="118" width="9.33203125" bestFit="1" customWidth="1"/>
    <col min="119" max="119" width="8.33203125" bestFit="1" customWidth="1"/>
    <col min="120" max="121" width="9.33203125" bestFit="1" customWidth="1"/>
    <col min="122" max="122" width="8.33203125" bestFit="1" customWidth="1"/>
    <col min="123" max="124" width="9.33203125" bestFit="1" customWidth="1"/>
    <col min="125" max="125" width="8.33203125" bestFit="1" customWidth="1"/>
    <col min="126" max="127" width="9.33203125" bestFit="1" customWidth="1"/>
    <col min="128" max="128" width="8.33203125" bestFit="1" customWidth="1"/>
    <col min="129" max="130" width="9.33203125" bestFit="1" customWidth="1"/>
    <col min="131" max="131" width="8.33203125" bestFit="1" customWidth="1"/>
    <col min="132" max="133" width="9.33203125" bestFit="1" customWidth="1"/>
    <col min="134" max="134" width="8.33203125" bestFit="1" customWidth="1"/>
    <col min="135" max="136" width="9.33203125" bestFit="1" customWidth="1"/>
    <col min="137" max="137" width="8.33203125" bestFit="1" customWidth="1"/>
    <col min="138" max="139" width="9.33203125" bestFit="1" customWidth="1"/>
    <col min="140" max="140" width="8.33203125" bestFit="1" customWidth="1"/>
    <col min="141" max="142" width="9.33203125" bestFit="1" customWidth="1"/>
    <col min="143" max="143" width="8.33203125" bestFit="1" customWidth="1"/>
    <col min="144" max="145" width="9.33203125" bestFit="1" customWidth="1"/>
    <col min="146" max="146" width="8.33203125" bestFit="1" customWidth="1"/>
    <col min="147" max="148" width="9.33203125" bestFit="1" customWidth="1"/>
    <col min="149" max="149" width="8.33203125" bestFit="1" customWidth="1"/>
    <col min="150" max="151" width="9.33203125" bestFit="1" customWidth="1"/>
    <col min="152" max="152" width="8.33203125" bestFit="1" customWidth="1"/>
    <col min="153" max="154" width="9.33203125" bestFit="1" customWidth="1"/>
    <col min="155" max="155" width="8.33203125" bestFit="1" customWidth="1"/>
    <col min="156" max="157" width="9.33203125" bestFit="1" customWidth="1"/>
    <col min="158" max="158" width="8.33203125" bestFit="1" customWidth="1"/>
    <col min="159" max="160" width="9.33203125" bestFit="1" customWidth="1"/>
    <col min="161" max="161" width="8.33203125" bestFit="1" customWidth="1"/>
    <col min="162" max="163" width="9.33203125" bestFit="1" customWidth="1"/>
    <col min="164" max="164" width="8.33203125" bestFit="1" customWidth="1"/>
    <col min="165" max="166" width="9.33203125" bestFit="1" customWidth="1"/>
    <col min="167" max="167" width="8.33203125" bestFit="1" customWidth="1"/>
    <col min="168" max="169" width="9.33203125" bestFit="1" customWidth="1"/>
    <col min="170" max="170" width="8.33203125" bestFit="1" customWidth="1"/>
    <col min="171" max="172" width="9.33203125" bestFit="1" customWidth="1"/>
    <col min="173" max="173" width="8.33203125" bestFit="1" customWidth="1"/>
    <col min="174" max="175" width="9.33203125" bestFit="1" customWidth="1"/>
    <col min="176" max="177" width="8.33203125" bestFit="1" customWidth="1"/>
    <col min="178" max="179" width="9.33203125" bestFit="1" customWidth="1"/>
    <col min="180" max="180" width="8.33203125" bestFit="1" customWidth="1"/>
    <col min="181" max="182" width="9.33203125" bestFit="1" customWidth="1"/>
    <col min="183" max="183" width="8.33203125" bestFit="1" customWidth="1"/>
    <col min="184" max="185" width="9.33203125" bestFit="1" customWidth="1"/>
    <col min="186" max="186" width="8.33203125" bestFit="1" customWidth="1"/>
    <col min="187" max="188" width="9.33203125" bestFit="1" customWidth="1"/>
    <col min="189" max="189" width="8.33203125" bestFit="1" customWidth="1"/>
    <col min="190" max="191" width="9.33203125" bestFit="1" customWidth="1"/>
    <col min="192" max="192" width="8.33203125" bestFit="1" customWidth="1"/>
    <col min="193" max="194" width="9.33203125" bestFit="1" customWidth="1"/>
    <col min="195" max="195" width="8.33203125" bestFit="1" customWidth="1"/>
    <col min="196" max="197" width="9.33203125" bestFit="1" customWidth="1"/>
    <col min="198" max="198" width="8.33203125" bestFit="1" customWidth="1"/>
    <col min="199" max="200" width="9.33203125" bestFit="1" customWidth="1"/>
    <col min="201" max="201" width="8.33203125" bestFit="1" customWidth="1"/>
    <col min="202" max="203" width="9.33203125" bestFit="1" customWidth="1"/>
    <col min="204" max="204" width="8.33203125" bestFit="1" customWidth="1"/>
    <col min="205" max="206" width="9.33203125" bestFit="1" customWidth="1"/>
    <col min="207" max="207" width="8.33203125" bestFit="1" customWidth="1"/>
    <col min="208" max="209" width="9.33203125" bestFit="1" customWidth="1"/>
    <col min="210" max="210" width="8.33203125" bestFit="1" customWidth="1"/>
    <col min="211" max="212" width="9.33203125" bestFit="1" customWidth="1"/>
    <col min="213" max="213" width="8.33203125" bestFit="1" customWidth="1"/>
    <col min="214" max="215" width="9.33203125" bestFit="1" customWidth="1"/>
    <col min="216" max="216" width="8.33203125" bestFit="1" customWidth="1"/>
    <col min="217" max="218" width="9.33203125" bestFit="1" customWidth="1"/>
    <col min="219" max="219" width="8.33203125" bestFit="1" customWidth="1"/>
    <col min="220" max="221" width="9.33203125" bestFit="1" customWidth="1"/>
    <col min="222" max="222" width="8.33203125" bestFit="1" customWidth="1"/>
    <col min="223" max="224" width="9.33203125" bestFit="1" customWidth="1"/>
    <col min="225" max="225" width="8.33203125" bestFit="1" customWidth="1"/>
    <col min="226" max="227" width="9.33203125" bestFit="1" customWidth="1"/>
    <col min="228" max="228" width="8.33203125" bestFit="1" customWidth="1"/>
    <col min="229" max="230" width="9.33203125" bestFit="1" customWidth="1"/>
    <col min="231" max="231" width="8.33203125" bestFit="1" customWidth="1"/>
    <col min="232" max="233" width="9.33203125" bestFit="1" customWidth="1"/>
    <col min="234" max="234" width="8.33203125" bestFit="1" customWidth="1"/>
    <col min="235" max="236" width="9.33203125" bestFit="1" customWidth="1"/>
    <col min="237" max="237" width="8.33203125" bestFit="1" customWidth="1"/>
    <col min="238" max="239" width="9.33203125" bestFit="1" customWidth="1"/>
    <col min="240" max="240" width="8.33203125" bestFit="1" customWidth="1"/>
    <col min="241" max="242" width="9.33203125" bestFit="1" customWidth="1"/>
    <col min="243" max="243" width="8.33203125" bestFit="1" customWidth="1"/>
    <col min="244" max="245" width="9.33203125" bestFit="1" customWidth="1"/>
    <col min="246" max="246" width="8.33203125" bestFit="1" customWidth="1"/>
    <col min="247" max="248" width="9.33203125" bestFit="1" customWidth="1"/>
    <col min="249" max="249" width="8.33203125" bestFit="1" customWidth="1"/>
    <col min="250" max="251" width="9.33203125" bestFit="1" customWidth="1"/>
    <col min="252" max="252" width="8.33203125" bestFit="1" customWidth="1"/>
    <col min="253" max="254" width="9.33203125" bestFit="1" customWidth="1"/>
    <col min="255" max="255" width="8.33203125" bestFit="1" customWidth="1"/>
    <col min="256" max="256" width="9.33203125" bestFit="1" customWidth="1"/>
    <col min="257" max="257" width="8.33203125" bestFit="1" customWidth="1"/>
    <col min="258" max="259" width="9.33203125" bestFit="1" customWidth="1"/>
    <col min="260" max="260" width="8.33203125" bestFit="1" customWidth="1"/>
    <col min="261" max="262" width="9.33203125" bestFit="1" customWidth="1"/>
    <col min="263" max="263" width="8.33203125" bestFit="1" customWidth="1"/>
    <col min="264" max="265" width="9.33203125" bestFit="1" customWidth="1"/>
    <col min="266" max="266" width="8.33203125" bestFit="1" customWidth="1"/>
    <col min="267" max="268" width="9.33203125" bestFit="1" customWidth="1"/>
    <col min="269" max="269" width="8.33203125" bestFit="1" customWidth="1"/>
    <col min="270" max="271" width="9.33203125" bestFit="1" customWidth="1"/>
    <col min="272" max="272" width="8.33203125" bestFit="1" customWidth="1"/>
    <col min="273" max="274" width="9.33203125" bestFit="1" customWidth="1"/>
    <col min="275" max="275" width="8.33203125" bestFit="1" customWidth="1"/>
    <col min="276" max="277" width="9.33203125" bestFit="1" customWidth="1"/>
    <col min="278" max="278" width="8.33203125" bestFit="1" customWidth="1"/>
    <col min="279" max="280" width="9.33203125" bestFit="1" customWidth="1"/>
    <col min="281" max="281" width="8.33203125" bestFit="1" customWidth="1"/>
    <col min="282" max="283" width="9.33203125" bestFit="1" customWidth="1"/>
    <col min="284" max="284" width="8.33203125" bestFit="1" customWidth="1"/>
    <col min="285" max="286" width="9.33203125" bestFit="1" customWidth="1"/>
    <col min="287" max="287" width="8.33203125" bestFit="1" customWidth="1"/>
    <col min="288" max="289" width="9.33203125" bestFit="1" customWidth="1"/>
    <col min="290" max="290" width="8.33203125" bestFit="1" customWidth="1"/>
    <col min="291" max="292" width="9.33203125" bestFit="1" customWidth="1"/>
    <col min="293" max="293" width="8.33203125" bestFit="1" customWidth="1"/>
    <col min="294" max="295" width="9.33203125" bestFit="1" customWidth="1"/>
    <col min="296" max="296" width="8.33203125" bestFit="1" customWidth="1"/>
    <col min="297" max="297" width="11.88671875" bestFit="1" customWidth="1"/>
  </cols>
  <sheetData>
    <row r="3" spans="2:6" x14ac:dyDescent="0.3">
      <c r="B3" s="18" t="s">
        <v>317</v>
      </c>
      <c r="C3" s="18"/>
      <c r="D3" s="18"/>
      <c r="E3" s="18"/>
      <c r="F3" s="18"/>
    </row>
    <row r="6" spans="2:6" x14ac:dyDescent="0.3">
      <c r="B6" t="s">
        <v>324</v>
      </c>
    </row>
    <row r="7" spans="2:6" x14ac:dyDescent="0.3">
      <c r="B7" t="s">
        <v>319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318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  <c r="E14" s="15">
        <f>GETPIVOTDATA("Total Value",$B$11)</f>
        <v>1754</v>
      </c>
    </row>
    <row r="17" spans="2:5" x14ac:dyDescent="0.3">
      <c r="B17" s="14" t="s">
        <v>320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9">
        <v>0</v>
      </c>
    </row>
    <row r="23" spans="2:5" x14ac:dyDescent="0.3">
      <c r="B23" s="14" t="s">
        <v>26</v>
      </c>
      <c r="C23" s="19">
        <v>0</v>
      </c>
    </row>
    <row r="24" spans="2:5" x14ac:dyDescent="0.3">
      <c r="B24" s="14" t="s">
        <v>18</v>
      </c>
      <c r="C24" s="19">
        <v>600</v>
      </c>
    </row>
    <row r="25" spans="2:5" x14ac:dyDescent="0.3">
      <c r="B25" s="14" t="s">
        <v>310</v>
      </c>
      <c r="C25" s="19">
        <v>600</v>
      </c>
      <c r="E25" s="15">
        <f>GETPIVOTDATA("EA Play Season Pass
Price",$B$21)</f>
        <v>600</v>
      </c>
    </row>
    <row r="28" spans="2:5" x14ac:dyDescent="0.3">
      <c r="B28" s="14" t="s">
        <v>321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540</v>
      </c>
    </row>
    <row r="35" spans="2:5" x14ac:dyDescent="0.3">
      <c r="B35" s="14" t="s">
        <v>18</v>
      </c>
      <c r="C35" s="13">
        <v>400</v>
      </c>
    </row>
    <row r="36" spans="2:5" x14ac:dyDescent="0.3">
      <c r="B36" s="14" t="s">
        <v>310</v>
      </c>
      <c r="C36" s="13">
        <v>940</v>
      </c>
      <c r="E36" s="15">
        <f>GETPIVOTDATA("Minecraft Season Pass Price",$B$32)</f>
        <v>940</v>
      </c>
    </row>
    <row r="43" spans="2:5" x14ac:dyDescent="0.3">
      <c r="B43" s="12" t="s">
        <v>309</v>
      </c>
      <c r="C43" t="s">
        <v>318</v>
      </c>
    </row>
    <row r="44" spans="2:5" x14ac:dyDescent="0.3">
      <c r="B44" s="14" t="s">
        <v>325</v>
      </c>
      <c r="C44" s="13">
        <v>5</v>
      </c>
    </row>
    <row r="45" spans="2:5" x14ac:dyDescent="0.3">
      <c r="B45" s="14" t="s">
        <v>326</v>
      </c>
      <c r="C45" s="13">
        <v>138</v>
      </c>
    </row>
    <row r="46" spans="2:5" x14ac:dyDescent="0.3">
      <c r="B46" s="14" t="s">
        <v>327</v>
      </c>
      <c r="C46" s="13">
        <v>182</v>
      </c>
    </row>
    <row r="47" spans="2:5" x14ac:dyDescent="0.3">
      <c r="B47" s="14" t="s">
        <v>328</v>
      </c>
      <c r="C47" s="13">
        <v>187</v>
      </c>
    </row>
    <row r="48" spans="2:5" x14ac:dyDescent="0.3">
      <c r="B48" s="14" t="s">
        <v>329</v>
      </c>
      <c r="C48" s="13">
        <v>130</v>
      </c>
    </row>
    <row r="49" spans="2:3" x14ac:dyDescent="0.3">
      <c r="B49" s="14" t="s">
        <v>330</v>
      </c>
      <c r="C49" s="13">
        <v>182</v>
      </c>
    </row>
    <row r="50" spans="2:3" x14ac:dyDescent="0.3">
      <c r="B50" s="14" t="s">
        <v>331</v>
      </c>
      <c r="C50" s="13">
        <v>242</v>
      </c>
    </row>
    <row r="51" spans="2:3" x14ac:dyDescent="0.3">
      <c r="B51" s="14" t="s">
        <v>332</v>
      </c>
      <c r="C51" s="13">
        <v>182</v>
      </c>
    </row>
    <row r="52" spans="2:3" x14ac:dyDescent="0.3">
      <c r="B52" s="14" t="s">
        <v>333</v>
      </c>
      <c r="C52" s="13">
        <v>182</v>
      </c>
    </row>
    <row r="53" spans="2:3" x14ac:dyDescent="0.3">
      <c r="B53" s="14" t="s">
        <v>334</v>
      </c>
      <c r="C53" s="13">
        <v>229</v>
      </c>
    </row>
    <row r="54" spans="2:3" x14ac:dyDescent="0.3">
      <c r="B54" s="14" t="s">
        <v>335</v>
      </c>
      <c r="C54" s="13">
        <v>95</v>
      </c>
    </row>
    <row r="55" spans="2:3" x14ac:dyDescent="0.3">
      <c r="B55" s="14" t="s">
        <v>310</v>
      </c>
      <c r="C55" s="13">
        <v>1754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136"/>
  <sheetViews>
    <sheetView showGridLines="0" showRowColHeaders="0" tabSelected="1" zoomScale="50" zoomScaleNormal="50" workbookViewId="0">
      <selection activeCell="Y35" sqref="Y35"/>
    </sheetView>
  </sheetViews>
  <sheetFormatPr defaultRowHeight="14.4" x14ac:dyDescent="0.3"/>
  <cols>
    <col min="1" max="1" width="2.88671875" customWidth="1"/>
    <col min="2" max="2" width="3.5546875" customWidth="1"/>
    <col min="12" max="12" width="6.5546875" customWidth="1"/>
  </cols>
  <sheetData>
    <row r="1" spans="1:14" s="4" customFormat="1" ht="84" customHeight="1" x14ac:dyDescent="0.3">
      <c r="D1" s="20" t="s">
        <v>322</v>
      </c>
    </row>
    <row r="2" spans="1:14" s="3" customFormat="1" ht="45.6" customHeight="1" x14ac:dyDescent="0.3">
      <c r="D2" s="16"/>
      <c r="E2" s="21" t="s">
        <v>323</v>
      </c>
    </row>
    <row r="3" spans="1:14" ht="19.5" customHeight="1" x14ac:dyDescent="0.3"/>
    <row r="4" spans="1:14" s="7" customFormat="1" ht="8.25" customHeight="1" x14ac:dyDescent="0.3">
      <c r="A4"/>
    </row>
    <row r="5" spans="1:14" s="7" customFormat="1" ht="7.5" customHeight="1" x14ac:dyDescent="0.3">
      <c r="A5"/>
    </row>
    <row r="6" spans="1:14" s="7" customFormat="1" ht="10.5" customHeight="1" x14ac:dyDescent="0.3">
      <c r="A6"/>
    </row>
    <row r="7" spans="1:14" s="7" customFormat="1" ht="9.75" customHeight="1" x14ac:dyDescent="0.3">
      <c r="A7"/>
    </row>
    <row r="8" spans="1:14" s="7" customFormat="1" ht="11.25" customHeight="1" x14ac:dyDescent="0.3">
      <c r="A8"/>
    </row>
    <row r="9" spans="1:14" s="7" customFormat="1" x14ac:dyDescent="0.3">
      <c r="A9"/>
    </row>
    <row r="10" spans="1:14" s="7" customFormat="1" x14ac:dyDescent="0.3">
      <c r="A10"/>
    </row>
    <row r="11" spans="1:14" s="7" customFormat="1" ht="14.25" customHeight="1" x14ac:dyDescent="0.3">
      <c r="A11"/>
    </row>
    <row r="12" spans="1:14" s="7" customFormat="1" x14ac:dyDescent="0.3">
      <c r="A12"/>
    </row>
    <row r="13" spans="1:14" s="7" customFormat="1" x14ac:dyDescent="0.3">
      <c r="A13"/>
    </row>
    <row r="14" spans="1:14" s="7" customFormat="1" ht="16.8" x14ac:dyDescent="0.4">
      <c r="A14"/>
      <c r="N14" s="17"/>
    </row>
    <row r="15" spans="1:14" s="7" customFormat="1" x14ac:dyDescent="0.3">
      <c r="A15"/>
    </row>
    <row r="16" spans="1:14" s="7" customFormat="1" x14ac:dyDescent="0.3">
      <c r="A16"/>
    </row>
    <row r="17" spans="1:1" s="7" customFormat="1" x14ac:dyDescent="0.3">
      <c r="A17"/>
    </row>
    <row r="18" spans="1:1" s="7" customFormat="1" x14ac:dyDescent="0.3">
      <c r="A18"/>
    </row>
    <row r="19" spans="1:1" s="7" customFormat="1" x14ac:dyDescent="0.3">
      <c r="A19"/>
    </row>
    <row r="20" spans="1:1" s="7" customFormat="1" x14ac:dyDescent="0.3">
      <c r="A20"/>
    </row>
    <row r="21" spans="1:1" s="7" customFormat="1" x14ac:dyDescent="0.3">
      <c r="A21"/>
    </row>
    <row r="22" spans="1:1" s="7" customFormat="1" x14ac:dyDescent="0.3">
      <c r="A22"/>
    </row>
    <row r="23" spans="1:1" s="7" customFormat="1" x14ac:dyDescent="0.3">
      <c r="A23"/>
    </row>
    <row r="24" spans="1:1" s="7" customFormat="1" x14ac:dyDescent="0.3">
      <c r="A24"/>
    </row>
    <row r="25" spans="1:1" s="7" customFormat="1" x14ac:dyDescent="0.3">
      <c r="A25"/>
    </row>
    <row r="26" spans="1:1" s="7" customFormat="1" x14ac:dyDescent="0.3">
      <c r="A26"/>
    </row>
    <row r="27" spans="1:1" s="7" customFormat="1" x14ac:dyDescent="0.3">
      <c r="A27"/>
    </row>
    <row r="28" spans="1:1" s="7" customFormat="1" x14ac:dyDescent="0.3">
      <c r="A28"/>
    </row>
    <row r="29" spans="1:1" s="7" customFormat="1" x14ac:dyDescent="0.3">
      <c r="A29"/>
    </row>
    <row r="30" spans="1:1" s="7" customFormat="1" x14ac:dyDescent="0.3">
      <c r="A30"/>
    </row>
    <row r="31" spans="1:1" s="7" customFormat="1" x14ac:dyDescent="0.3">
      <c r="A31"/>
    </row>
    <row r="32" spans="1:1" s="7" customFormat="1" x14ac:dyDescent="0.3">
      <c r="A32"/>
    </row>
    <row r="33" spans="1:1" s="7" customFormat="1" x14ac:dyDescent="0.3">
      <c r="A33"/>
    </row>
    <row r="34" spans="1:1" s="7" customFormat="1" x14ac:dyDescent="0.3">
      <c r="A34"/>
    </row>
    <row r="35" spans="1:1" s="7" customFormat="1" x14ac:dyDescent="0.3">
      <c r="A35"/>
    </row>
    <row r="36" spans="1:1" s="7" customFormat="1" x14ac:dyDescent="0.3">
      <c r="A36"/>
    </row>
    <row r="37" spans="1:1" s="7" customFormat="1" x14ac:dyDescent="0.3">
      <c r="A37"/>
    </row>
    <row r="38" spans="1:1" s="7" customFormat="1" x14ac:dyDescent="0.3">
      <c r="A38"/>
    </row>
    <row r="39" spans="1:1" s="7" customFormat="1" x14ac:dyDescent="0.3">
      <c r="A39"/>
    </row>
    <row r="40" spans="1:1" s="7" customFormat="1" x14ac:dyDescent="0.3">
      <c r="A40"/>
    </row>
    <row r="41" spans="1:1" s="7" customFormat="1" x14ac:dyDescent="0.3">
      <c r="A41"/>
    </row>
    <row r="42" spans="1:1" s="7" customFormat="1" x14ac:dyDescent="0.3">
      <c r="A42"/>
    </row>
    <row r="43" spans="1:1" s="7" customFormat="1" x14ac:dyDescent="0.3">
      <c r="A43"/>
    </row>
    <row r="44" spans="1:1" s="7" customFormat="1" x14ac:dyDescent="0.3">
      <c r="A44"/>
    </row>
    <row r="45" spans="1:1" s="7" customFormat="1" x14ac:dyDescent="0.3">
      <c r="A45"/>
    </row>
    <row r="46" spans="1:1" s="7" customFormat="1" x14ac:dyDescent="0.3">
      <c r="A46"/>
    </row>
    <row r="47" spans="1:1" s="7" customFormat="1" x14ac:dyDescent="0.3">
      <c r="A47"/>
    </row>
    <row r="48" spans="1:1" s="7" customFormat="1" x14ac:dyDescent="0.3">
      <c r="A48"/>
    </row>
    <row r="49" spans="1:1" s="7" customFormat="1" x14ac:dyDescent="0.3">
      <c r="A49"/>
    </row>
    <row r="50" spans="1:1" s="7" customFormat="1" x14ac:dyDescent="0.3">
      <c r="A50"/>
    </row>
    <row r="51" spans="1:1" s="7" customFormat="1" x14ac:dyDescent="0.3">
      <c r="A51"/>
    </row>
    <row r="52" spans="1:1" s="7" customFormat="1" x14ac:dyDescent="0.3">
      <c r="A52"/>
    </row>
    <row r="53" spans="1:1" s="7" customFormat="1" x14ac:dyDescent="0.3">
      <c r="A53"/>
    </row>
    <row r="54" spans="1:1" s="7" customFormat="1" x14ac:dyDescent="0.3">
      <c r="A54"/>
    </row>
    <row r="55" spans="1:1" s="7" customFormat="1" x14ac:dyDescent="0.3">
      <c r="A55"/>
    </row>
    <row r="56" spans="1:1" s="7" customFormat="1" x14ac:dyDescent="0.3">
      <c r="A56"/>
    </row>
    <row r="57" spans="1:1" s="7" customFormat="1" x14ac:dyDescent="0.3">
      <c r="A57"/>
    </row>
    <row r="58" spans="1:1" s="7" customFormat="1" x14ac:dyDescent="0.3">
      <c r="A58"/>
    </row>
    <row r="59" spans="1:1" s="7" customFormat="1" x14ac:dyDescent="0.3">
      <c r="A59"/>
    </row>
    <row r="60" spans="1:1" s="7" customFormat="1" x14ac:dyDescent="0.3">
      <c r="A60"/>
    </row>
    <row r="61" spans="1:1" s="7" customFormat="1" x14ac:dyDescent="0.3">
      <c r="A61"/>
    </row>
    <row r="62" spans="1:1" s="7" customFormat="1" x14ac:dyDescent="0.3">
      <c r="A62"/>
    </row>
    <row r="63" spans="1:1" s="7" customFormat="1" x14ac:dyDescent="0.3">
      <c r="A63"/>
    </row>
    <row r="64" spans="1:1" s="7" customFormat="1" x14ac:dyDescent="0.3">
      <c r="A64"/>
    </row>
    <row r="65" spans="1:1" s="7" customFormat="1" x14ac:dyDescent="0.3">
      <c r="A65"/>
    </row>
    <row r="66" spans="1:1" s="7" customFormat="1" x14ac:dyDescent="0.3">
      <c r="A66"/>
    </row>
    <row r="67" spans="1:1" s="7" customFormat="1" x14ac:dyDescent="0.3">
      <c r="A67"/>
    </row>
    <row r="68" spans="1:1" s="7" customFormat="1" x14ac:dyDescent="0.3">
      <c r="A68"/>
    </row>
    <row r="69" spans="1:1" s="7" customFormat="1" x14ac:dyDescent="0.3">
      <c r="A69"/>
    </row>
    <row r="70" spans="1:1" s="7" customFormat="1" x14ac:dyDescent="0.3">
      <c r="A70"/>
    </row>
    <row r="71" spans="1:1" s="7" customFormat="1" x14ac:dyDescent="0.3">
      <c r="A71"/>
    </row>
    <row r="72" spans="1:1" s="7" customFormat="1" x14ac:dyDescent="0.3">
      <c r="A72"/>
    </row>
    <row r="73" spans="1:1" s="7" customFormat="1" x14ac:dyDescent="0.3">
      <c r="A73"/>
    </row>
    <row r="74" spans="1:1" s="7" customFormat="1" x14ac:dyDescent="0.3">
      <c r="A74"/>
    </row>
    <row r="75" spans="1:1" s="7" customFormat="1" x14ac:dyDescent="0.3">
      <c r="A75"/>
    </row>
    <row r="76" spans="1:1" s="7" customFormat="1" x14ac:dyDescent="0.3">
      <c r="A76"/>
    </row>
    <row r="77" spans="1:1" s="7" customFormat="1" x14ac:dyDescent="0.3">
      <c r="A77"/>
    </row>
    <row r="78" spans="1:1" s="7" customFormat="1" x14ac:dyDescent="0.3">
      <c r="A78"/>
    </row>
    <row r="79" spans="1:1" s="7" customFormat="1" x14ac:dyDescent="0.3">
      <c r="A79"/>
    </row>
    <row r="80" spans="1:1" s="7" customFormat="1" x14ac:dyDescent="0.3">
      <c r="A80"/>
    </row>
    <row r="81" spans="1:1" s="7" customFormat="1" x14ac:dyDescent="0.3">
      <c r="A81"/>
    </row>
    <row r="82" spans="1:1" s="7" customFormat="1" x14ac:dyDescent="0.3">
      <c r="A82"/>
    </row>
    <row r="83" spans="1:1" s="7" customFormat="1" x14ac:dyDescent="0.3">
      <c r="A83"/>
    </row>
    <row r="84" spans="1:1" s="7" customFormat="1" x14ac:dyDescent="0.3">
      <c r="A84"/>
    </row>
    <row r="85" spans="1:1" s="7" customFormat="1" x14ac:dyDescent="0.3">
      <c r="A85"/>
    </row>
    <row r="86" spans="1:1" s="7" customFormat="1" x14ac:dyDescent="0.3">
      <c r="A86"/>
    </row>
    <row r="87" spans="1:1" s="7" customFormat="1" x14ac:dyDescent="0.3">
      <c r="A87"/>
    </row>
    <row r="88" spans="1:1" s="7" customFormat="1" x14ac:dyDescent="0.3">
      <c r="A88"/>
    </row>
    <row r="89" spans="1:1" s="7" customFormat="1" x14ac:dyDescent="0.3">
      <c r="A89"/>
    </row>
    <row r="90" spans="1:1" s="7" customFormat="1" x14ac:dyDescent="0.3">
      <c r="A90"/>
    </row>
    <row r="91" spans="1:1" s="7" customFormat="1" x14ac:dyDescent="0.3">
      <c r="A91"/>
    </row>
    <row r="92" spans="1:1" s="7" customFormat="1" x14ac:dyDescent="0.3">
      <c r="A92"/>
    </row>
    <row r="93" spans="1:1" s="7" customFormat="1" x14ac:dyDescent="0.3">
      <c r="A93"/>
    </row>
    <row r="94" spans="1:1" s="7" customFormat="1" x14ac:dyDescent="0.3">
      <c r="A94"/>
    </row>
    <row r="95" spans="1:1" s="7" customFormat="1" x14ac:dyDescent="0.3">
      <c r="A95"/>
    </row>
    <row r="96" spans="1:1" s="7" customFormat="1" x14ac:dyDescent="0.3">
      <c r="A96"/>
    </row>
    <row r="97" spans="1:1" s="7" customFormat="1" x14ac:dyDescent="0.3">
      <c r="A97"/>
    </row>
    <row r="98" spans="1:1" s="7" customFormat="1" x14ac:dyDescent="0.3">
      <c r="A98"/>
    </row>
    <row r="99" spans="1:1" s="7" customFormat="1" x14ac:dyDescent="0.3">
      <c r="A99"/>
    </row>
    <row r="100" spans="1:1" s="7" customFormat="1" x14ac:dyDescent="0.3">
      <c r="A100"/>
    </row>
    <row r="101" spans="1:1" s="7" customFormat="1" x14ac:dyDescent="0.3">
      <c r="A101"/>
    </row>
    <row r="102" spans="1:1" s="7" customFormat="1" x14ac:dyDescent="0.3">
      <c r="A102"/>
    </row>
    <row r="103" spans="1:1" s="7" customFormat="1" x14ac:dyDescent="0.3">
      <c r="A103"/>
    </row>
    <row r="104" spans="1:1" s="7" customFormat="1" x14ac:dyDescent="0.3">
      <c r="A104"/>
    </row>
    <row r="105" spans="1:1" s="7" customFormat="1" x14ac:dyDescent="0.3">
      <c r="A105"/>
    </row>
    <row r="106" spans="1:1" s="7" customFormat="1" x14ac:dyDescent="0.3">
      <c r="A106"/>
    </row>
    <row r="107" spans="1:1" s="7" customFormat="1" x14ac:dyDescent="0.3">
      <c r="A107"/>
    </row>
    <row r="108" spans="1:1" s="7" customFormat="1" x14ac:dyDescent="0.3">
      <c r="A108"/>
    </row>
    <row r="109" spans="1:1" s="7" customFormat="1" x14ac:dyDescent="0.3">
      <c r="A109"/>
    </row>
    <row r="110" spans="1:1" s="7" customFormat="1" x14ac:dyDescent="0.3">
      <c r="A110"/>
    </row>
    <row r="111" spans="1:1" s="7" customFormat="1" x14ac:dyDescent="0.3">
      <c r="A111"/>
    </row>
    <row r="112" spans="1:1" s="7" customFormat="1" x14ac:dyDescent="0.3">
      <c r="A112"/>
    </row>
    <row r="113" spans="1:1" s="7" customFormat="1" x14ac:dyDescent="0.3">
      <c r="A113"/>
    </row>
    <row r="114" spans="1:1" s="7" customFormat="1" x14ac:dyDescent="0.3">
      <c r="A114"/>
    </row>
    <row r="115" spans="1:1" s="7" customFormat="1" x14ac:dyDescent="0.3">
      <c r="A115"/>
    </row>
    <row r="116" spans="1:1" s="7" customFormat="1" x14ac:dyDescent="0.3">
      <c r="A116"/>
    </row>
    <row r="117" spans="1:1" s="7" customFormat="1" x14ac:dyDescent="0.3">
      <c r="A117"/>
    </row>
    <row r="118" spans="1:1" s="7" customFormat="1" x14ac:dyDescent="0.3">
      <c r="A118"/>
    </row>
    <row r="119" spans="1:1" s="7" customFormat="1" x14ac:dyDescent="0.3">
      <c r="A119"/>
    </row>
    <row r="120" spans="1:1" s="7" customFormat="1" x14ac:dyDescent="0.3">
      <c r="A120"/>
    </row>
    <row r="121" spans="1:1" s="7" customFormat="1" x14ac:dyDescent="0.3">
      <c r="A121"/>
    </row>
    <row r="122" spans="1:1" s="7" customFormat="1" x14ac:dyDescent="0.3">
      <c r="A122"/>
    </row>
    <row r="123" spans="1:1" s="7" customFormat="1" x14ac:dyDescent="0.3">
      <c r="A123"/>
    </row>
    <row r="124" spans="1:1" s="7" customFormat="1" x14ac:dyDescent="0.3">
      <c r="A124"/>
    </row>
    <row r="125" spans="1:1" s="7" customFormat="1" x14ac:dyDescent="0.3">
      <c r="A125"/>
    </row>
    <row r="126" spans="1:1" s="7" customFormat="1" x14ac:dyDescent="0.3">
      <c r="A126"/>
    </row>
    <row r="127" spans="1:1" s="7" customFormat="1" x14ac:dyDescent="0.3">
      <c r="A127"/>
    </row>
    <row r="128" spans="1:1" s="7" customFormat="1" x14ac:dyDescent="0.3">
      <c r="A128"/>
    </row>
    <row r="129" spans="1:1" s="7" customFormat="1" x14ac:dyDescent="0.3">
      <c r="A129"/>
    </row>
    <row r="130" spans="1:1" s="7" customFormat="1" x14ac:dyDescent="0.3">
      <c r="A130"/>
    </row>
    <row r="131" spans="1:1" s="7" customFormat="1" x14ac:dyDescent="0.3">
      <c r="A131"/>
    </row>
    <row r="132" spans="1:1" s="7" customFormat="1" x14ac:dyDescent="0.3">
      <c r="A132"/>
    </row>
    <row r="133" spans="1:1" s="7" customFormat="1" x14ac:dyDescent="0.3">
      <c r="A133"/>
    </row>
    <row r="134" spans="1:1" s="7" customFormat="1" x14ac:dyDescent="0.3">
      <c r="A134"/>
    </row>
    <row r="135" spans="1:1" s="7" customFormat="1" x14ac:dyDescent="0.3">
      <c r="A135"/>
    </row>
    <row r="136" spans="1:1" s="7" customFormat="1" x14ac:dyDescent="0.3">
      <c r="A13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Carvalho da Silva</cp:lastModifiedBy>
  <dcterms:created xsi:type="dcterms:W3CDTF">2024-12-19T13:13:10Z</dcterms:created>
  <dcterms:modified xsi:type="dcterms:W3CDTF">2026-02-15T22:25:27Z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